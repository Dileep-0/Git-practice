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New folder\"/>
    </mc:Choice>
  </mc:AlternateContent>
  <xr:revisionPtr revIDLastSave="0" documentId="8_{02551AD1-8A34-42D0-A5F3-5B486C8B6867}" xr6:coauthVersionLast="47" xr6:coauthVersionMax="47" xr10:uidLastSave="{00000000-0000-0000-0000-000000000000}"/>
  <bookViews>
    <workbookView xWindow="-120" yWindow="-120" windowWidth="20730" windowHeight="11040" xr2:uid="{C5EBB76A-85E2-45E6-B331-0BD6CD7CADA0}"/>
  </bookViews>
  <sheets>
    <sheet name="25-03-2025_05m_NIFTY25MARFUT" sheetId="1" r:id="rId1"/>
  </sheets>
  <definedNames>
    <definedName name="_xlnm._FilterDatabase" localSheetId="0" hidden="1">'25-03-2025_05m_NIFTY25MARFUT'!$A$1:$BS$76</definedName>
  </definedNames>
  <calcPr calcId="0"/>
</workbook>
</file>

<file path=xl/calcChain.xml><?xml version="1.0" encoding="utf-8"?>
<calcChain xmlns="http://schemas.openxmlformats.org/spreadsheetml/2006/main">
  <c r="BL3" i="1" l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2" i="1"/>
  <c r="BM45" i="1" l="1"/>
  <c r="BN45" i="1" s="1"/>
  <c r="BM29" i="1"/>
  <c r="BM21" i="1"/>
  <c r="BN21" i="1" s="1"/>
  <c r="BM3" i="1"/>
  <c r="BM13" i="1" s="1"/>
  <c r="BN13" i="1" s="1"/>
  <c r="BM70" i="1"/>
  <c r="BN70" i="1" s="1"/>
  <c r="BN29" i="1"/>
  <c r="BM22" i="1"/>
  <c r="BN22" i="1" s="1"/>
  <c r="BM73" i="1"/>
  <c r="BN73" i="1" s="1"/>
  <c r="BM65" i="1"/>
  <c r="BN65" i="1" s="1"/>
  <c r="BM72" i="1"/>
  <c r="BN72" i="1" s="1"/>
  <c r="BM4" i="1"/>
  <c r="BN4" i="1" s="1"/>
  <c r="BM17" i="1"/>
  <c r="BN17" i="1" s="1"/>
  <c r="BM9" i="1"/>
  <c r="BN9" i="1" s="1"/>
  <c r="BM64" i="1"/>
  <c r="BN64" i="1" s="1"/>
  <c r="BM56" i="1"/>
  <c r="BN56" i="1" s="1"/>
  <c r="BM16" i="1"/>
  <c r="BN16" i="1" s="1"/>
  <c r="BM8" i="1"/>
  <c r="BN8" i="1" s="1"/>
  <c r="BM7" i="1"/>
  <c r="BN7" i="1" s="1"/>
  <c r="BM11" i="1"/>
  <c r="BN11" i="1" s="1"/>
  <c r="BM76" i="1"/>
  <c r="BN76" i="1" s="1"/>
  <c r="BM27" i="1"/>
  <c r="BN27" i="1" s="1"/>
  <c r="BM44" i="1"/>
  <c r="BN44" i="1" s="1"/>
  <c r="BM15" i="1"/>
  <c r="BN15" i="1" s="1"/>
  <c r="BM23" i="1"/>
  <c r="BN23" i="1" s="1"/>
  <c r="BM55" i="1"/>
  <c r="BN55" i="1" s="1"/>
  <c r="BM63" i="1"/>
  <c r="BN63" i="1" s="1"/>
  <c r="BM71" i="1"/>
  <c r="BN71" i="1" s="1"/>
  <c r="BM19" i="1"/>
  <c r="BN19" i="1" s="1"/>
  <c r="BM59" i="1"/>
  <c r="BN59" i="1" s="1"/>
  <c r="BM43" i="1"/>
  <c r="BN43" i="1" s="1"/>
  <c r="BM36" i="1"/>
  <c r="BN36" i="1" s="1"/>
  <c r="BM35" i="1"/>
  <c r="BN35" i="1" s="1"/>
  <c r="BM28" i="1"/>
  <c r="BN28" i="1" s="1"/>
  <c r="BM10" i="1"/>
  <c r="BN10" i="1" s="1"/>
  <c r="BM42" i="1"/>
  <c r="BN42" i="1" s="1"/>
  <c r="BM50" i="1"/>
  <c r="BN50" i="1" s="1"/>
  <c r="BM58" i="1"/>
  <c r="BN58" i="1" s="1"/>
  <c r="BM66" i="1"/>
  <c r="BN66" i="1" s="1"/>
  <c r="BM74" i="1"/>
  <c r="BN74" i="1" s="1"/>
  <c r="BM37" i="1" l="1"/>
  <c r="BN37" i="1" s="1"/>
  <c r="BM24" i="1"/>
  <c r="BN24" i="1" s="1"/>
  <c r="BM25" i="1"/>
  <c r="BN25" i="1" s="1"/>
  <c r="BM14" i="1"/>
  <c r="BN14" i="1" s="1"/>
  <c r="BM54" i="1"/>
  <c r="BN54" i="1" s="1"/>
  <c r="BM46" i="1"/>
  <c r="BN46" i="1" s="1"/>
  <c r="BM53" i="1"/>
  <c r="BN53" i="1" s="1"/>
  <c r="BM34" i="1"/>
  <c r="BN34" i="1" s="1"/>
  <c r="BM68" i="1"/>
  <c r="BN68" i="1" s="1"/>
  <c r="BM47" i="1"/>
  <c r="BN47" i="1" s="1"/>
  <c r="BM60" i="1"/>
  <c r="BN60" i="1" s="1"/>
  <c r="BM32" i="1"/>
  <c r="BN32" i="1" s="1"/>
  <c r="BM33" i="1"/>
  <c r="BN33" i="1" s="1"/>
  <c r="BM30" i="1"/>
  <c r="BN30" i="1" s="1"/>
  <c r="BM61" i="1"/>
  <c r="BN61" i="1" s="1"/>
  <c r="BM52" i="1"/>
  <c r="BN52" i="1" s="1"/>
  <c r="BM26" i="1"/>
  <c r="BN26" i="1" s="1"/>
  <c r="BM12" i="1"/>
  <c r="BN12" i="1" s="1"/>
  <c r="BM39" i="1"/>
  <c r="BN39" i="1" s="1"/>
  <c r="BM20" i="1"/>
  <c r="BN20" i="1" s="1"/>
  <c r="BM40" i="1"/>
  <c r="BN40" i="1" s="1"/>
  <c r="BM41" i="1"/>
  <c r="BN41" i="1" s="1"/>
  <c r="BM62" i="1"/>
  <c r="BN62" i="1" s="1"/>
  <c r="BM6" i="1"/>
  <c r="BN6" i="1" s="1"/>
  <c r="BM5" i="1"/>
  <c r="BN5" i="1" s="1"/>
  <c r="BM69" i="1"/>
  <c r="BN69" i="1" s="1"/>
  <c r="BM51" i="1"/>
  <c r="BN51" i="1" s="1"/>
  <c r="BM18" i="1"/>
  <c r="BN18" i="1" s="1"/>
  <c r="BM75" i="1"/>
  <c r="BN75" i="1" s="1"/>
  <c r="BM31" i="1"/>
  <c r="BN31" i="1" s="1"/>
  <c r="BM67" i="1"/>
  <c r="BN67" i="1" s="1"/>
  <c r="BM48" i="1"/>
  <c r="BN48" i="1" s="1"/>
  <c r="BM49" i="1"/>
  <c r="BN49" i="1" s="1"/>
  <c r="BM57" i="1"/>
  <c r="BN57" i="1" s="1"/>
  <c r="BM38" i="1"/>
  <c r="BN38" i="1" s="1"/>
</calcChain>
</file>

<file path=xl/sharedStrings.xml><?xml version="1.0" encoding="utf-8"?>
<sst xmlns="http://schemas.openxmlformats.org/spreadsheetml/2006/main" count="517" uniqueCount="36">
  <si>
    <t>last_traded_time</t>
  </si>
  <si>
    <t>ltp</t>
  </si>
  <si>
    <t>vol_traded_today</t>
  </si>
  <si>
    <t>non_zero_vol</t>
  </si>
  <si>
    <t>bid</t>
  </si>
  <si>
    <t>ask</t>
  </si>
  <si>
    <t>bid_price</t>
  </si>
  <si>
    <t>ask_price</t>
  </si>
  <si>
    <t>n_bid_ask_diff</t>
  </si>
  <si>
    <t>n_bid_ask_pr_diff</t>
  </si>
  <si>
    <t>last_traded_qty</t>
  </si>
  <si>
    <t>tot_buy_qty</t>
  </si>
  <si>
    <t>tot_buy_sig</t>
  </si>
  <si>
    <t>tot_sell_qty</t>
  </si>
  <si>
    <t>tot_sell_sig</t>
  </si>
  <si>
    <t>avg_trade_price</t>
  </si>
  <si>
    <t>open_1</t>
  </si>
  <si>
    <t>close_1</t>
  </si>
  <si>
    <t>high</t>
  </si>
  <si>
    <t>low</t>
  </si>
  <si>
    <t>N</t>
  </si>
  <si>
    <t>Y</t>
  </si>
  <si>
    <t>YES</t>
  </si>
  <si>
    <t>ce_bid_ask_diff</t>
  </si>
  <si>
    <t>ce_bid_ask_pr_diff</t>
  </si>
  <si>
    <t>open_2</t>
  </si>
  <si>
    <t>close_2</t>
  </si>
  <si>
    <t>pe_bid_ask_diff</t>
  </si>
  <si>
    <t>pe_bid_ask_pr_diff</t>
  </si>
  <si>
    <t>open_3</t>
  </si>
  <si>
    <t>close_3</t>
  </si>
  <si>
    <t>datetime</t>
  </si>
  <si>
    <t>timestamp</t>
  </si>
  <si>
    <t>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</si>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</sst>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FEDC-1F54-424F-BF8C-B251CF7B43F4}">
  <dimension ref="A1:BS76"/>
  <sheetViews>
    <sheetView tabSelected="1" topLeftCell="A51" workbookViewId="0">
      <selection activeCell="A23" sqref="A23:XFD23"/>
    </sheetView>
  </sheetViews>
  <sheetFormatPr defaultRowHeight="15" x14ac:dyDescent="0.25"/>
  <cols>
    <col min="1" max="1" width="16.28515625" bestFit="1" customWidth="1"/>
    <col min="3" max="18" width="0" hidden="1" customWidth="1"/>
    <col min="22" max="61" width="0" hidden="1" customWidth="1"/>
    <col min="62" max="62" width="15.5703125" hidden="1" customWidth="1"/>
    <col min="63" max="63" width="0" hidden="1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23</v>
      </c>
      <c r="AE1" t="s">
        <v>24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25</v>
      </c>
      <c r="AL1" t="s">
        <v>26</v>
      </c>
      <c r="AM1" t="s">
        <v>18</v>
      </c>
      <c r="AN1" t="s">
        <v>19</v>
      </c>
      <c r="AO1" t="s">
        <v>15</v>
      </c>
      <c r="AP1" t="s">
        <v>0</v>
      </c>
      <c r="AQ1" t="s">
        <v>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27</v>
      </c>
      <c r="AY1" t="s">
        <v>28</v>
      </c>
      <c r="AZ1" t="s">
        <v>10</v>
      </c>
      <c r="BA1" t="s">
        <v>11</v>
      </c>
      <c r="BB1" t="s">
        <v>12</v>
      </c>
      <c r="BC1" t="s">
        <v>13</v>
      </c>
      <c r="BD1" t="s">
        <v>14</v>
      </c>
      <c r="BE1" t="s">
        <v>29</v>
      </c>
      <c r="BF1" t="s">
        <v>30</v>
      </c>
      <c r="BG1" t="s">
        <v>18</v>
      </c>
      <c r="BH1" t="s">
        <v>19</v>
      </c>
      <c r="BI1" t="s">
        <v>15</v>
      </c>
      <c r="BJ1" t="s">
        <v>31</v>
      </c>
      <c r="BK1" t="s">
        <v>32</v>
      </c>
      <c r="BO1" t="s">
        <v>33</v>
      </c>
      <c r="BP1" t="s">
        <v>18</v>
      </c>
      <c r="BQ1" t="s">
        <v>19</v>
      </c>
      <c r="BR1" t="s">
        <v>34</v>
      </c>
      <c r="BS1" t="s">
        <v>35</v>
      </c>
    </row>
    <row r="2" spans="1:71" x14ac:dyDescent="0.25">
      <c r="A2" s="1">
        <v>45741.385416666664</v>
      </c>
      <c r="B2">
        <v>-30.450000000000699</v>
      </c>
      <c r="C2">
        <v>376650</v>
      </c>
      <c r="D2">
        <v>153</v>
      </c>
      <c r="E2">
        <v>69975</v>
      </c>
      <c r="F2">
        <v>201075</v>
      </c>
      <c r="G2">
        <v>-29.350000000002101</v>
      </c>
      <c r="H2">
        <v>-35.850000000002098</v>
      </c>
      <c r="I2">
        <v>-131100</v>
      </c>
      <c r="J2">
        <v>-558</v>
      </c>
      <c r="K2">
        <v>32475</v>
      </c>
      <c r="L2">
        <v>17475</v>
      </c>
      <c r="M2" t="s">
        <v>20</v>
      </c>
      <c r="N2">
        <v>-7950</v>
      </c>
      <c r="O2" t="s">
        <v>20</v>
      </c>
      <c r="P2">
        <v>23756.38</v>
      </c>
      <c r="Q2">
        <v>23763.95</v>
      </c>
      <c r="R2">
        <v>23733.5</v>
      </c>
      <c r="S2">
        <v>23772.799999999999</v>
      </c>
      <c r="T2">
        <v>23733.5</v>
      </c>
      <c r="U2">
        <f>ABS(Q2-R2)</f>
        <v>30.450000000000728</v>
      </c>
      <c r="V2" s="1">
        <v>45741.385416666664</v>
      </c>
      <c r="W2">
        <v>-4.9000000000000004</v>
      </c>
      <c r="X2">
        <v>5958675</v>
      </c>
      <c r="Y2">
        <v>158</v>
      </c>
      <c r="Z2">
        <v>228975</v>
      </c>
      <c r="AA2">
        <v>191775</v>
      </c>
      <c r="AB2">
        <v>-4.3999999999999897</v>
      </c>
      <c r="AC2">
        <v>-4.5</v>
      </c>
      <c r="AD2">
        <v>37200</v>
      </c>
      <c r="AE2">
        <v>-80.999999999992696</v>
      </c>
      <c r="AF2">
        <v>37650</v>
      </c>
      <c r="AG2">
        <v>364950</v>
      </c>
      <c r="AH2" t="s">
        <v>20</v>
      </c>
      <c r="AI2">
        <v>343200</v>
      </c>
      <c r="AJ2" t="s">
        <v>20</v>
      </c>
      <c r="AK2">
        <v>121.95</v>
      </c>
      <c r="AL2">
        <v>117.05</v>
      </c>
      <c r="AM2">
        <v>128.55000000000001</v>
      </c>
      <c r="AN2">
        <v>113.95</v>
      </c>
      <c r="AO2">
        <v>120.05</v>
      </c>
      <c r="AP2" s="1">
        <v>45741.385416666664</v>
      </c>
      <c r="AQ2">
        <v>28.6999999999999</v>
      </c>
      <c r="AR2">
        <v>2960100</v>
      </c>
      <c r="AS2">
        <v>157</v>
      </c>
      <c r="AT2">
        <v>132600</v>
      </c>
      <c r="AU2">
        <v>123225</v>
      </c>
      <c r="AV2">
        <v>28.349999999999898</v>
      </c>
      <c r="AW2">
        <v>28.35</v>
      </c>
      <c r="AX2">
        <v>9375</v>
      </c>
      <c r="AY2">
        <v>-111.150000000001</v>
      </c>
      <c r="AZ2">
        <v>32625</v>
      </c>
      <c r="BA2">
        <v>259725</v>
      </c>
      <c r="BB2" t="s">
        <v>20</v>
      </c>
      <c r="BC2">
        <v>41100</v>
      </c>
      <c r="BD2" t="s">
        <v>20</v>
      </c>
      <c r="BE2">
        <v>149.25</v>
      </c>
      <c r="BF2">
        <v>177.95</v>
      </c>
      <c r="BG2">
        <v>178</v>
      </c>
      <c r="BH2">
        <v>147.30000000000001</v>
      </c>
      <c r="BI2">
        <v>161.97999999999999</v>
      </c>
      <c r="BJ2" s="1">
        <v>45741.385416666664</v>
      </c>
      <c r="BK2">
        <v>1742874300</v>
      </c>
      <c r="BL2">
        <f>ABS(BO2-BR2)</f>
        <v>0.46000000000000085</v>
      </c>
      <c r="BO2">
        <v>13.7</v>
      </c>
      <c r="BP2">
        <v>14.16</v>
      </c>
      <c r="BQ2">
        <v>13.49</v>
      </c>
      <c r="BR2">
        <v>14.16</v>
      </c>
      <c r="BS2">
        <v>0</v>
      </c>
    </row>
    <row r="3" spans="1:71" x14ac:dyDescent="0.25">
      <c r="A3" s="1">
        <v>45741.388888888891</v>
      </c>
      <c r="B3">
        <v>-35.200000000000699</v>
      </c>
      <c r="C3">
        <v>283875</v>
      </c>
      <c r="D3">
        <v>180</v>
      </c>
      <c r="E3">
        <v>104250</v>
      </c>
      <c r="F3">
        <v>145200</v>
      </c>
      <c r="G3">
        <v>-34.400000000001398</v>
      </c>
      <c r="H3">
        <v>-34.650000000001398</v>
      </c>
      <c r="I3">
        <v>-40950</v>
      </c>
      <c r="J3">
        <v>-957.20000000111702</v>
      </c>
      <c r="K3">
        <v>38325</v>
      </c>
      <c r="L3">
        <v>30225</v>
      </c>
      <c r="M3" t="s">
        <v>20</v>
      </c>
      <c r="N3">
        <v>-2400</v>
      </c>
      <c r="O3" t="s">
        <v>20</v>
      </c>
      <c r="P3">
        <v>23742.71</v>
      </c>
      <c r="Q3">
        <v>23731</v>
      </c>
      <c r="R3">
        <v>23695.8</v>
      </c>
      <c r="S3">
        <v>23736.1</v>
      </c>
      <c r="T3">
        <v>23692.3</v>
      </c>
      <c r="U3">
        <f t="shared" ref="U3:U66" si="0">ABS(Q3-R3)</f>
        <v>35.200000000000728</v>
      </c>
      <c r="V3" s="1">
        <v>45741.388888888891</v>
      </c>
      <c r="W3">
        <v>-9.3499999999999908</v>
      </c>
      <c r="X3">
        <v>4567500</v>
      </c>
      <c r="Y3">
        <v>180</v>
      </c>
      <c r="Z3">
        <v>244500</v>
      </c>
      <c r="AA3">
        <v>272400</v>
      </c>
      <c r="AB3">
        <v>-7.5</v>
      </c>
      <c r="AC3">
        <v>-7.5</v>
      </c>
      <c r="AD3">
        <v>-27900</v>
      </c>
      <c r="AE3">
        <v>-94.150000000008703</v>
      </c>
      <c r="AF3">
        <v>45900</v>
      </c>
      <c r="AG3">
        <v>-2487075</v>
      </c>
      <c r="AH3" t="s">
        <v>22</v>
      </c>
      <c r="AI3">
        <v>180750</v>
      </c>
      <c r="AJ3" t="s">
        <v>20</v>
      </c>
      <c r="AK3">
        <v>116.05</v>
      </c>
      <c r="AL3">
        <v>106.7</v>
      </c>
      <c r="AM3">
        <v>119.2</v>
      </c>
      <c r="AN3">
        <v>106.7</v>
      </c>
      <c r="AO3">
        <v>117.82</v>
      </c>
      <c r="AP3" s="1">
        <v>45741.388888888891</v>
      </c>
      <c r="AQ3">
        <v>30.9499999999999</v>
      </c>
      <c r="AR3">
        <v>3419550</v>
      </c>
      <c r="AS3">
        <v>180</v>
      </c>
      <c r="AT3">
        <v>133125</v>
      </c>
      <c r="AU3">
        <v>154350</v>
      </c>
      <c r="AV3">
        <v>28.15</v>
      </c>
      <c r="AW3">
        <v>28.25</v>
      </c>
      <c r="AX3">
        <v>-21225</v>
      </c>
      <c r="AY3">
        <v>-165</v>
      </c>
      <c r="AZ3">
        <v>38550</v>
      </c>
      <c r="BA3">
        <v>-20925</v>
      </c>
      <c r="BB3" t="s">
        <v>21</v>
      </c>
      <c r="BC3">
        <v>27900</v>
      </c>
      <c r="BD3" t="s">
        <v>20</v>
      </c>
      <c r="BE3">
        <v>179.8</v>
      </c>
      <c r="BF3">
        <v>210.75</v>
      </c>
      <c r="BG3">
        <v>213.15</v>
      </c>
      <c r="BH3">
        <v>175.9</v>
      </c>
      <c r="BI3">
        <v>177.21</v>
      </c>
      <c r="BJ3" s="1">
        <v>45741.388888888891</v>
      </c>
      <c r="BK3">
        <v>1742874600</v>
      </c>
      <c r="BL3">
        <f t="shared" ref="BL3:BL66" si="1">ABS(BO3-BR3)</f>
        <v>0.1899999999999995</v>
      </c>
      <c r="BM3">
        <f>(0.01*U3)/BL3</f>
        <v>1.8526315789474117</v>
      </c>
      <c r="BO3">
        <v>14.14</v>
      </c>
      <c r="BP3">
        <v>14.37</v>
      </c>
      <c r="BQ3">
        <v>14.13</v>
      </c>
      <c r="BR3">
        <v>14.33</v>
      </c>
      <c r="BS3">
        <v>0</v>
      </c>
    </row>
    <row r="4" spans="1:71" s="3" customFormat="1" x14ac:dyDescent="0.25">
      <c r="A4" s="2">
        <v>45741.392361111109</v>
      </c>
      <c r="B4" s="3">
        <v>42.650000000001398</v>
      </c>
      <c r="C4" s="3">
        <v>277725</v>
      </c>
      <c r="D4" s="3">
        <v>179</v>
      </c>
      <c r="E4" s="3">
        <v>198600</v>
      </c>
      <c r="F4" s="3">
        <v>131100</v>
      </c>
      <c r="G4" s="3">
        <v>40</v>
      </c>
      <c r="H4" s="3">
        <v>42.25</v>
      </c>
      <c r="I4" s="3">
        <v>67500</v>
      </c>
      <c r="J4" s="3">
        <v>-995.15000000037196</v>
      </c>
      <c r="K4" s="3">
        <v>39375</v>
      </c>
      <c r="L4" s="3">
        <v>18825</v>
      </c>
      <c r="M4" s="3" t="s">
        <v>20</v>
      </c>
      <c r="N4" s="3">
        <v>-8025</v>
      </c>
      <c r="O4" s="3" t="s">
        <v>21</v>
      </c>
      <c r="P4" s="3">
        <v>23731.51</v>
      </c>
      <c r="Q4" s="3">
        <v>23695</v>
      </c>
      <c r="R4" s="3">
        <v>23737.65</v>
      </c>
      <c r="S4" s="3">
        <v>23743.8</v>
      </c>
      <c r="T4" s="3">
        <v>23682.3</v>
      </c>
      <c r="U4" s="3">
        <f t="shared" si="0"/>
        <v>42.650000000001455</v>
      </c>
      <c r="V4" s="2">
        <v>45741.392361111109</v>
      </c>
      <c r="W4" s="3">
        <v>8.5499999999999901</v>
      </c>
      <c r="X4" s="3">
        <v>6302250</v>
      </c>
      <c r="Y4" s="3">
        <v>180</v>
      </c>
      <c r="Z4" s="3">
        <v>288675</v>
      </c>
      <c r="AA4" s="3">
        <v>269550</v>
      </c>
      <c r="AB4" s="3">
        <v>9.4499999999999993</v>
      </c>
      <c r="AC4" s="3">
        <v>9.4499999999999993</v>
      </c>
      <c r="AD4" s="3">
        <v>19125</v>
      </c>
      <c r="AE4" s="3">
        <v>-85.649999999994094</v>
      </c>
      <c r="AF4" s="3">
        <v>41550</v>
      </c>
      <c r="AG4" s="3">
        <v>91125</v>
      </c>
      <c r="AH4" s="3" t="s">
        <v>21</v>
      </c>
      <c r="AI4" s="3">
        <v>11550</v>
      </c>
      <c r="AJ4" s="3" t="s">
        <v>20</v>
      </c>
      <c r="AK4" s="3">
        <v>106.95</v>
      </c>
      <c r="AL4" s="3">
        <v>115.5</v>
      </c>
      <c r="AM4" s="3">
        <v>117.7</v>
      </c>
      <c r="AN4" s="3">
        <v>93.65</v>
      </c>
      <c r="AO4" s="3">
        <v>113.08</v>
      </c>
      <c r="AP4" s="2">
        <v>45741.392361111109</v>
      </c>
      <c r="AQ4" s="3">
        <v>-33.15</v>
      </c>
      <c r="AR4" s="3">
        <v>2684025</v>
      </c>
      <c r="AS4" s="3">
        <v>180</v>
      </c>
      <c r="AT4" s="3">
        <v>137250</v>
      </c>
      <c r="AU4" s="3">
        <v>162900</v>
      </c>
      <c r="AV4" s="3">
        <v>-33.75</v>
      </c>
      <c r="AW4" s="3">
        <v>-33.699999999999903</v>
      </c>
      <c r="AX4" s="3">
        <v>-25650</v>
      </c>
      <c r="AY4" s="3">
        <v>-165.39999999999401</v>
      </c>
      <c r="AZ4" s="3">
        <v>40500</v>
      </c>
      <c r="BA4" s="3">
        <v>-75900</v>
      </c>
      <c r="BB4" s="3" t="s">
        <v>21</v>
      </c>
      <c r="BC4" s="3">
        <v>84525</v>
      </c>
      <c r="BD4" s="3" t="s">
        <v>21</v>
      </c>
      <c r="BE4" s="3">
        <v>210.35</v>
      </c>
      <c r="BF4" s="3">
        <v>177.2</v>
      </c>
      <c r="BG4" s="3">
        <v>210.6</v>
      </c>
      <c r="BH4" s="3">
        <v>174</v>
      </c>
      <c r="BI4" s="3">
        <v>183.34</v>
      </c>
      <c r="BJ4" s="2">
        <v>45741.392361111109</v>
      </c>
      <c r="BK4" s="3">
        <v>1742874900</v>
      </c>
      <c r="BL4" s="3">
        <f t="shared" si="1"/>
        <v>0.26999999999999957</v>
      </c>
      <c r="BM4" s="3">
        <f>U4/$BM$3/100</f>
        <v>0.23021306818182066</v>
      </c>
      <c r="BN4" s="3">
        <f>IF(BL4&lt;BM4,-1,1)</f>
        <v>1</v>
      </c>
      <c r="BO4" s="3">
        <v>14.32</v>
      </c>
      <c r="BP4" s="3">
        <v>14.32</v>
      </c>
      <c r="BQ4" s="3">
        <v>14.01</v>
      </c>
      <c r="BR4" s="3">
        <v>14.05</v>
      </c>
      <c r="BS4" s="3">
        <v>0</v>
      </c>
    </row>
    <row r="5" spans="1:71" x14ac:dyDescent="0.25">
      <c r="A5" s="1">
        <v>45741.395833333336</v>
      </c>
      <c r="B5">
        <v>38.650000000001398</v>
      </c>
      <c r="C5">
        <v>456000</v>
      </c>
      <c r="D5">
        <v>178</v>
      </c>
      <c r="E5">
        <v>73050</v>
      </c>
      <c r="F5">
        <v>129075</v>
      </c>
      <c r="G5">
        <v>34.700000000000699</v>
      </c>
      <c r="H5">
        <v>36.799999999999201</v>
      </c>
      <c r="I5">
        <v>-56025</v>
      </c>
      <c r="J5">
        <v>-1160.5000000018599</v>
      </c>
      <c r="K5">
        <v>37350</v>
      </c>
      <c r="L5">
        <v>38175</v>
      </c>
      <c r="M5" t="s">
        <v>20</v>
      </c>
      <c r="N5">
        <v>-45450</v>
      </c>
      <c r="O5" t="s">
        <v>21</v>
      </c>
      <c r="P5">
        <v>23737.82</v>
      </c>
      <c r="Q5">
        <v>23735.85</v>
      </c>
      <c r="R5">
        <v>23774.5</v>
      </c>
      <c r="S5">
        <v>23774.5</v>
      </c>
      <c r="T5">
        <v>23734.75</v>
      </c>
      <c r="U5">
        <f t="shared" si="0"/>
        <v>38.650000000001455</v>
      </c>
      <c r="V5" s="1">
        <v>45741.395833333336</v>
      </c>
      <c r="W5">
        <v>8.9499999999999797</v>
      </c>
      <c r="X5">
        <v>7808325</v>
      </c>
      <c r="Y5">
        <v>180</v>
      </c>
      <c r="Z5">
        <v>302250</v>
      </c>
      <c r="AA5">
        <v>319725</v>
      </c>
      <c r="AB5">
        <v>8.6999999999999993</v>
      </c>
      <c r="AC5">
        <v>8.5999999999999908</v>
      </c>
      <c r="AD5">
        <v>-17475</v>
      </c>
      <c r="AE5">
        <v>-100.300000000002</v>
      </c>
      <c r="AF5">
        <v>44100</v>
      </c>
      <c r="AG5">
        <v>168300</v>
      </c>
      <c r="AH5" t="s">
        <v>21</v>
      </c>
      <c r="AI5">
        <v>110850</v>
      </c>
      <c r="AJ5" t="s">
        <v>22</v>
      </c>
      <c r="AK5">
        <v>116.4</v>
      </c>
      <c r="AL5">
        <v>125.35</v>
      </c>
      <c r="AM5">
        <v>125.85</v>
      </c>
      <c r="AN5">
        <v>114.9</v>
      </c>
      <c r="AO5">
        <v>115.6</v>
      </c>
      <c r="AP5" s="1">
        <v>45741.395833333336</v>
      </c>
      <c r="AQ5">
        <v>-27.15</v>
      </c>
      <c r="AR5">
        <v>2610750</v>
      </c>
      <c r="AS5">
        <v>180</v>
      </c>
      <c r="AT5">
        <v>134475</v>
      </c>
      <c r="AU5">
        <v>165675</v>
      </c>
      <c r="AV5">
        <v>-26.05</v>
      </c>
      <c r="AW5">
        <v>-26.099999999999898</v>
      </c>
      <c r="AX5">
        <v>-31200</v>
      </c>
      <c r="AY5">
        <v>-134.349999999998</v>
      </c>
      <c r="AZ5">
        <v>38400</v>
      </c>
      <c r="BA5">
        <v>58425</v>
      </c>
      <c r="BB5" t="s">
        <v>22</v>
      </c>
      <c r="BC5">
        <v>95700</v>
      </c>
      <c r="BD5" t="s">
        <v>20</v>
      </c>
      <c r="BE5">
        <v>175.9</v>
      </c>
      <c r="BF5">
        <v>148.75</v>
      </c>
      <c r="BG5">
        <v>175.9</v>
      </c>
      <c r="BH5">
        <v>148.75</v>
      </c>
      <c r="BI5">
        <v>178.84</v>
      </c>
      <c r="BJ5" s="1">
        <v>45741.395833333336</v>
      </c>
      <c r="BK5">
        <v>1742875200</v>
      </c>
      <c r="BL5">
        <f t="shared" si="1"/>
        <v>5.0000000000000711E-2</v>
      </c>
      <c r="BM5">
        <f t="shared" ref="BM5:BM68" si="2">U5/$BM$3/100</f>
        <v>0.20862215909091208</v>
      </c>
      <c r="BN5" s="3">
        <f t="shared" ref="BN5:BN68" si="3">IF(BL5&lt;BM5,-1,1)</f>
        <v>-1</v>
      </c>
      <c r="BO5">
        <v>14.06</v>
      </c>
      <c r="BP5">
        <v>14.09</v>
      </c>
      <c r="BQ5">
        <v>13.97</v>
      </c>
      <c r="BR5">
        <v>14.01</v>
      </c>
      <c r="BS5">
        <v>0</v>
      </c>
    </row>
    <row r="6" spans="1:71" x14ac:dyDescent="0.25">
      <c r="A6" s="1">
        <v>45741.399305555555</v>
      </c>
      <c r="B6">
        <v>26.650000000001398</v>
      </c>
      <c r="C6">
        <v>235350</v>
      </c>
      <c r="D6">
        <v>178</v>
      </c>
      <c r="E6">
        <v>82050</v>
      </c>
      <c r="F6">
        <v>125625</v>
      </c>
      <c r="G6">
        <v>23.799999999999201</v>
      </c>
      <c r="H6">
        <v>20.25</v>
      </c>
      <c r="I6">
        <v>-43575</v>
      </c>
      <c r="J6">
        <v>-994.84999999962702</v>
      </c>
      <c r="K6">
        <v>34350</v>
      </c>
      <c r="L6">
        <v>20250</v>
      </c>
      <c r="M6" t="s">
        <v>20</v>
      </c>
      <c r="N6">
        <v>-11625</v>
      </c>
      <c r="O6" t="s">
        <v>22</v>
      </c>
      <c r="P6">
        <v>23744.22</v>
      </c>
      <c r="Q6">
        <v>23769.1</v>
      </c>
      <c r="R6">
        <v>23795.75</v>
      </c>
      <c r="S6">
        <v>23804.400000000001</v>
      </c>
      <c r="T6">
        <v>23761.05</v>
      </c>
      <c r="U6">
        <f t="shared" si="0"/>
        <v>26.650000000001455</v>
      </c>
      <c r="V6" s="1">
        <v>45741.399305555555</v>
      </c>
      <c r="W6">
        <v>8</v>
      </c>
      <c r="X6">
        <v>8665275</v>
      </c>
      <c r="Y6">
        <v>180</v>
      </c>
      <c r="Z6">
        <v>270900</v>
      </c>
      <c r="AA6">
        <v>241875</v>
      </c>
      <c r="AB6">
        <v>7.8000000000000096</v>
      </c>
      <c r="AC6">
        <v>7.8999999999999897</v>
      </c>
      <c r="AD6">
        <v>29025</v>
      </c>
      <c r="AE6">
        <v>-100.5</v>
      </c>
      <c r="AF6">
        <v>41325</v>
      </c>
      <c r="AG6">
        <v>91125</v>
      </c>
      <c r="AH6" t="s">
        <v>20</v>
      </c>
      <c r="AI6">
        <v>-2925</v>
      </c>
      <c r="AJ6" t="s">
        <v>21</v>
      </c>
      <c r="AK6">
        <v>124.75</v>
      </c>
      <c r="AL6">
        <v>132.75</v>
      </c>
      <c r="AM6">
        <v>137.55000000000001</v>
      </c>
      <c r="AN6">
        <v>120.85</v>
      </c>
      <c r="AO6">
        <v>119.23</v>
      </c>
      <c r="AP6" s="1">
        <v>45741.399305555555</v>
      </c>
      <c r="AQ6">
        <v>-17.149999999999999</v>
      </c>
      <c r="AR6">
        <v>3434400</v>
      </c>
      <c r="AS6">
        <v>180</v>
      </c>
      <c r="AT6">
        <v>193275</v>
      </c>
      <c r="AU6">
        <v>170025</v>
      </c>
      <c r="AV6">
        <v>-16.599999999999898</v>
      </c>
      <c r="AW6">
        <v>-16.75</v>
      </c>
      <c r="AX6">
        <v>23250</v>
      </c>
      <c r="AY6">
        <v>-108.100000000005</v>
      </c>
      <c r="AZ6">
        <v>47025</v>
      </c>
      <c r="BA6">
        <v>101850</v>
      </c>
      <c r="BB6" t="s">
        <v>22</v>
      </c>
      <c r="BC6">
        <v>122625</v>
      </c>
      <c r="BD6" t="s">
        <v>21</v>
      </c>
      <c r="BE6">
        <v>150.05000000000001</v>
      </c>
      <c r="BF6">
        <v>132.9</v>
      </c>
      <c r="BG6">
        <v>154</v>
      </c>
      <c r="BH6">
        <v>128.80000000000001</v>
      </c>
      <c r="BI6">
        <v>170.09</v>
      </c>
      <c r="BJ6" s="1">
        <v>45741.399305555555</v>
      </c>
      <c r="BK6">
        <v>1742875500</v>
      </c>
      <c r="BL6">
        <f t="shared" si="1"/>
        <v>3.9999999999999147E-2</v>
      </c>
      <c r="BM6">
        <f t="shared" si="2"/>
        <v>0.14384943181818632</v>
      </c>
      <c r="BN6" s="3">
        <f t="shared" si="3"/>
        <v>-1</v>
      </c>
      <c r="BO6">
        <v>14</v>
      </c>
      <c r="BP6">
        <v>14.07</v>
      </c>
      <c r="BQ6">
        <v>13.96</v>
      </c>
      <c r="BR6">
        <v>14.04</v>
      </c>
      <c r="BS6">
        <v>0</v>
      </c>
    </row>
    <row r="7" spans="1:71" x14ac:dyDescent="0.25">
      <c r="A7" s="1">
        <v>45741.402777777781</v>
      </c>
      <c r="B7">
        <v>3.3500000000021801</v>
      </c>
      <c r="C7">
        <v>102225</v>
      </c>
      <c r="D7">
        <v>165</v>
      </c>
      <c r="E7">
        <v>93075</v>
      </c>
      <c r="F7">
        <v>102750</v>
      </c>
      <c r="G7">
        <v>0.40000000000145502</v>
      </c>
      <c r="H7">
        <v>2.20000000000072</v>
      </c>
      <c r="I7">
        <v>-9675</v>
      </c>
      <c r="J7">
        <v>-764.65000000037196</v>
      </c>
      <c r="K7">
        <v>31425</v>
      </c>
      <c r="L7">
        <v>39975</v>
      </c>
      <c r="M7" t="s">
        <v>20</v>
      </c>
      <c r="N7">
        <v>26475</v>
      </c>
      <c r="O7" t="s">
        <v>22</v>
      </c>
      <c r="P7">
        <v>23747.1</v>
      </c>
      <c r="Q7">
        <v>23794.799999999999</v>
      </c>
      <c r="R7">
        <v>23798.15</v>
      </c>
      <c r="S7">
        <v>23804.25</v>
      </c>
      <c r="T7">
        <v>23786.35</v>
      </c>
      <c r="U7">
        <f t="shared" si="0"/>
        <v>3.3500000000021828</v>
      </c>
      <c r="V7" s="1">
        <v>45741.402777777781</v>
      </c>
      <c r="W7">
        <v>0.75</v>
      </c>
      <c r="X7">
        <v>4929525</v>
      </c>
      <c r="Y7">
        <v>180</v>
      </c>
      <c r="Z7">
        <v>331800</v>
      </c>
      <c r="AA7">
        <v>293100</v>
      </c>
      <c r="AB7">
        <v>1.05000000000001</v>
      </c>
      <c r="AC7">
        <v>1.2000000000000099</v>
      </c>
      <c r="AD7">
        <v>38700</v>
      </c>
      <c r="AE7">
        <v>-100.54999999999499</v>
      </c>
      <c r="AF7">
        <v>44850</v>
      </c>
      <c r="AG7">
        <v>675450</v>
      </c>
      <c r="AH7" t="s">
        <v>21</v>
      </c>
      <c r="AI7">
        <v>151875</v>
      </c>
      <c r="AJ7" t="s">
        <v>22</v>
      </c>
      <c r="AK7">
        <v>132.25</v>
      </c>
      <c r="AL7">
        <v>133</v>
      </c>
      <c r="AM7">
        <v>136.85</v>
      </c>
      <c r="AN7">
        <v>128.94999999999999</v>
      </c>
      <c r="AO7">
        <v>121</v>
      </c>
      <c r="AP7" s="1">
        <v>45741.402777777781</v>
      </c>
      <c r="AQ7">
        <v>-2.0999999999999899</v>
      </c>
      <c r="AR7">
        <v>3005925</v>
      </c>
      <c r="AS7">
        <v>180</v>
      </c>
      <c r="AT7">
        <v>246750</v>
      </c>
      <c r="AU7">
        <v>282525</v>
      </c>
      <c r="AV7">
        <v>-1.2000000000000099</v>
      </c>
      <c r="AW7">
        <v>-1.25</v>
      </c>
      <c r="AX7">
        <v>-35775</v>
      </c>
      <c r="AY7">
        <v>-103</v>
      </c>
      <c r="AZ7">
        <v>43050</v>
      </c>
      <c r="BA7">
        <v>71400</v>
      </c>
      <c r="BB7" t="s">
        <v>20</v>
      </c>
      <c r="BC7">
        <v>164250</v>
      </c>
      <c r="BD7" t="s">
        <v>21</v>
      </c>
      <c r="BE7">
        <v>133.75</v>
      </c>
      <c r="BF7">
        <v>131.65</v>
      </c>
      <c r="BG7">
        <v>137.44999999999999</v>
      </c>
      <c r="BH7">
        <v>128.4</v>
      </c>
      <c r="BI7">
        <v>164.01</v>
      </c>
      <c r="BJ7" s="1">
        <v>45741.402777777781</v>
      </c>
      <c r="BK7">
        <v>1742875800</v>
      </c>
      <c r="BL7">
        <f t="shared" si="1"/>
        <v>9.9999999999997868E-3</v>
      </c>
      <c r="BM7">
        <f t="shared" si="2"/>
        <v>1.8082386363647722E-2</v>
      </c>
      <c r="BN7" s="3">
        <f t="shared" si="3"/>
        <v>-1</v>
      </c>
      <c r="BO7">
        <v>14.03</v>
      </c>
      <c r="BP7">
        <v>14.1</v>
      </c>
      <c r="BQ7">
        <v>14</v>
      </c>
      <c r="BR7">
        <v>14.04</v>
      </c>
      <c r="BS7">
        <v>0</v>
      </c>
    </row>
    <row r="8" spans="1:71" x14ac:dyDescent="0.25">
      <c r="A8" s="1">
        <v>45741.40625</v>
      </c>
      <c r="B8">
        <v>22.349999999998499</v>
      </c>
      <c r="C8">
        <v>171375</v>
      </c>
      <c r="D8">
        <v>166</v>
      </c>
      <c r="E8">
        <v>55500</v>
      </c>
      <c r="F8">
        <v>105150</v>
      </c>
      <c r="G8">
        <v>21.650000000001398</v>
      </c>
      <c r="H8">
        <v>20.900000000001398</v>
      </c>
      <c r="I8">
        <v>-49650</v>
      </c>
      <c r="J8">
        <v>-669.04999999981305</v>
      </c>
      <c r="K8">
        <v>32325</v>
      </c>
      <c r="L8">
        <v>26850</v>
      </c>
      <c r="M8" t="s">
        <v>20</v>
      </c>
      <c r="N8">
        <v>-2775</v>
      </c>
      <c r="O8" t="s">
        <v>21</v>
      </c>
      <c r="P8">
        <v>23751.73</v>
      </c>
      <c r="Q8">
        <v>23797.65</v>
      </c>
      <c r="R8">
        <v>23820</v>
      </c>
      <c r="S8">
        <v>23820</v>
      </c>
      <c r="T8">
        <v>23781.4</v>
      </c>
      <c r="U8">
        <f t="shared" si="0"/>
        <v>22.349999999998545</v>
      </c>
      <c r="V8" s="1">
        <v>45741.40625</v>
      </c>
      <c r="W8">
        <v>9.3499999999999908</v>
      </c>
      <c r="X8">
        <v>7687950</v>
      </c>
      <c r="Y8">
        <v>180</v>
      </c>
      <c r="Z8">
        <v>371475</v>
      </c>
      <c r="AA8">
        <v>577125</v>
      </c>
      <c r="AB8">
        <v>9.15</v>
      </c>
      <c r="AC8">
        <v>9.2999999999999794</v>
      </c>
      <c r="AD8">
        <v>-205650</v>
      </c>
      <c r="AE8">
        <v>-104.950000000004</v>
      </c>
      <c r="AF8">
        <v>46275</v>
      </c>
      <c r="AG8">
        <v>-470325</v>
      </c>
      <c r="AH8" t="s">
        <v>22</v>
      </c>
      <c r="AI8">
        <v>-180975</v>
      </c>
      <c r="AJ8" t="s">
        <v>21</v>
      </c>
      <c r="AK8">
        <v>133</v>
      </c>
      <c r="AL8">
        <v>142.35</v>
      </c>
      <c r="AM8">
        <v>142.80000000000001</v>
      </c>
      <c r="AN8">
        <v>124.7</v>
      </c>
      <c r="AO8">
        <v>123.23</v>
      </c>
      <c r="AP8" s="1">
        <v>45741.40625</v>
      </c>
      <c r="AQ8">
        <v>-13.2</v>
      </c>
      <c r="AR8">
        <v>4322325</v>
      </c>
      <c r="AS8">
        <v>180</v>
      </c>
      <c r="AT8">
        <v>247350</v>
      </c>
      <c r="AU8">
        <v>290700</v>
      </c>
      <c r="AV8">
        <v>-13.549999999999899</v>
      </c>
      <c r="AW8">
        <v>-13.65</v>
      </c>
      <c r="AX8">
        <v>-43350</v>
      </c>
      <c r="AY8">
        <v>-101.199999999997</v>
      </c>
      <c r="AZ8">
        <v>43275</v>
      </c>
      <c r="BA8">
        <v>-91500</v>
      </c>
      <c r="BB8" t="s">
        <v>21</v>
      </c>
      <c r="BC8">
        <v>79650</v>
      </c>
      <c r="BD8" t="s">
        <v>20</v>
      </c>
      <c r="BE8">
        <v>131.80000000000001</v>
      </c>
      <c r="BF8">
        <v>118.6</v>
      </c>
      <c r="BG8">
        <v>139.15</v>
      </c>
      <c r="BH8">
        <v>117.9</v>
      </c>
      <c r="BI8">
        <v>157.30000000000001</v>
      </c>
      <c r="BJ8" s="1">
        <v>45741.40625</v>
      </c>
      <c r="BK8">
        <v>1742876100</v>
      </c>
      <c r="BL8">
        <f t="shared" si="1"/>
        <v>9.9999999999997868E-3</v>
      </c>
      <c r="BM8">
        <f t="shared" si="2"/>
        <v>0.12063920454544387</v>
      </c>
      <c r="BN8" s="3">
        <f t="shared" si="3"/>
        <v>-1</v>
      </c>
      <c r="BO8">
        <v>14.03</v>
      </c>
      <c r="BP8">
        <v>14.1</v>
      </c>
      <c r="BQ8">
        <v>14</v>
      </c>
      <c r="BR8">
        <v>14.04</v>
      </c>
      <c r="BS8">
        <v>0</v>
      </c>
    </row>
    <row r="9" spans="1:71" x14ac:dyDescent="0.25">
      <c r="A9" s="1">
        <v>45741.409722222219</v>
      </c>
      <c r="B9">
        <v>38.899999999997803</v>
      </c>
      <c r="C9">
        <v>293100</v>
      </c>
      <c r="D9">
        <v>179</v>
      </c>
      <c r="E9">
        <v>90675</v>
      </c>
      <c r="F9">
        <v>134475</v>
      </c>
      <c r="G9">
        <v>35.549999999999201</v>
      </c>
      <c r="H9">
        <v>38.899999999997803</v>
      </c>
      <c r="I9">
        <v>-43800</v>
      </c>
      <c r="J9">
        <v>-824.00000000186196</v>
      </c>
      <c r="K9">
        <v>35925</v>
      </c>
      <c r="L9">
        <v>10050</v>
      </c>
      <c r="M9" t="s">
        <v>20</v>
      </c>
      <c r="N9">
        <v>-24900</v>
      </c>
      <c r="O9" t="s">
        <v>21</v>
      </c>
      <c r="P9">
        <v>23763.27</v>
      </c>
      <c r="Q9">
        <v>23819.95</v>
      </c>
      <c r="R9">
        <v>23858.85</v>
      </c>
      <c r="S9">
        <v>23859.05</v>
      </c>
      <c r="T9">
        <v>23814.2</v>
      </c>
      <c r="U9">
        <f t="shared" si="0"/>
        <v>38.899999999997817</v>
      </c>
      <c r="V9" s="1">
        <v>45741.409722222219</v>
      </c>
      <c r="W9">
        <v>25.599999999999898</v>
      </c>
      <c r="X9">
        <v>9571725</v>
      </c>
      <c r="Y9">
        <v>180</v>
      </c>
      <c r="Z9">
        <v>255150</v>
      </c>
      <c r="AA9">
        <v>310275</v>
      </c>
      <c r="AB9">
        <v>24.9499999999999</v>
      </c>
      <c r="AC9">
        <v>25.049999999999901</v>
      </c>
      <c r="AD9">
        <v>-55125</v>
      </c>
      <c r="AE9">
        <v>-120.300000000002</v>
      </c>
      <c r="AF9">
        <v>44100</v>
      </c>
      <c r="AG9">
        <v>35250</v>
      </c>
      <c r="AH9" t="s">
        <v>21</v>
      </c>
      <c r="AI9">
        <v>-247875</v>
      </c>
      <c r="AJ9" t="s">
        <v>21</v>
      </c>
      <c r="AK9">
        <v>141.55000000000001</v>
      </c>
      <c r="AL9">
        <v>167.15</v>
      </c>
      <c r="AM9">
        <v>168.5</v>
      </c>
      <c r="AN9">
        <v>139.55000000000001</v>
      </c>
      <c r="AO9">
        <v>129.09</v>
      </c>
      <c r="AP9" s="1">
        <v>45741.409722222219</v>
      </c>
      <c r="AQ9">
        <v>-12.75</v>
      </c>
      <c r="AR9">
        <v>4741875</v>
      </c>
      <c r="AS9">
        <v>180</v>
      </c>
      <c r="AT9">
        <v>305175</v>
      </c>
      <c r="AU9">
        <v>345450</v>
      </c>
      <c r="AV9">
        <v>-12.55</v>
      </c>
      <c r="AW9">
        <v>-12.55</v>
      </c>
      <c r="AX9">
        <v>-40275</v>
      </c>
      <c r="AY9">
        <v>-83.850000000005807</v>
      </c>
      <c r="AZ9">
        <v>43650</v>
      </c>
      <c r="BA9">
        <v>24150</v>
      </c>
      <c r="BB9" t="s">
        <v>22</v>
      </c>
      <c r="BC9">
        <v>99375</v>
      </c>
      <c r="BD9" t="s">
        <v>20</v>
      </c>
      <c r="BE9">
        <v>119.05</v>
      </c>
      <c r="BF9">
        <v>106.3</v>
      </c>
      <c r="BG9">
        <v>120.65</v>
      </c>
      <c r="BH9">
        <v>105.15</v>
      </c>
      <c r="BI9">
        <v>149.44</v>
      </c>
      <c r="BJ9" s="1">
        <v>45741.409722222219</v>
      </c>
      <c r="BK9">
        <v>1742876400</v>
      </c>
      <c r="BL9">
        <f t="shared" si="1"/>
        <v>9.9999999999997868E-3</v>
      </c>
      <c r="BM9">
        <f t="shared" si="2"/>
        <v>0.20997159090907425</v>
      </c>
      <c r="BN9" s="3">
        <f t="shared" si="3"/>
        <v>-1</v>
      </c>
      <c r="BO9">
        <v>14.02</v>
      </c>
      <c r="BP9">
        <v>14.2</v>
      </c>
      <c r="BQ9">
        <v>14.01</v>
      </c>
      <c r="BR9">
        <v>14.03</v>
      </c>
      <c r="BS9">
        <v>0</v>
      </c>
    </row>
    <row r="10" spans="1:71" x14ac:dyDescent="0.25">
      <c r="A10" s="1">
        <v>45741.413194444445</v>
      </c>
      <c r="B10">
        <v>22.900000000001398</v>
      </c>
      <c r="C10">
        <v>217800</v>
      </c>
      <c r="D10">
        <v>175</v>
      </c>
      <c r="E10">
        <v>72300</v>
      </c>
      <c r="F10">
        <v>169050</v>
      </c>
      <c r="G10">
        <v>25.400000000001398</v>
      </c>
      <c r="H10">
        <v>22.900000000001398</v>
      </c>
      <c r="I10">
        <v>-96750</v>
      </c>
      <c r="J10">
        <v>-922.50000000186196</v>
      </c>
      <c r="K10">
        <v>35775</v>
      </c>
      <c r="L10">
        <v>-10050</v>
      </c>
      <c r="M10" t="s">
        <v>22</v>
      </c>
      <c r="N10">
        <v>55725</v>
      </c>
      <c r="O10" t="s">
        <v>22</v>
      </c>
      <c r="P10">
        <v>23772.26</v>
      </c>
      <c r="Q10">
        <v>23858.799999999999</v>
      </c>
      <c r="R10">
        <v>23881.7</v>
      </c>
      <c r="S10">
        <v>23892.7</v>
      </c>
      <c r="T10">
        <v>23852.3</v>
      </c>
      <c r="U10">
        <f t="shared" si="0"/>
        <v>22.900000000001455</v>
      </c>
      <c r="V10" s="1">
        <v>45741.413194444445</v>
      </c>
      <c r="W10">
        <v>16.75</v>
      </c>
      <c r="X10">
        <v>6395100</v>
      </c>
      <c r="Y10">
        <v>180</v>
      </c>
      <c r="Z10">
        <v>284325</v>
      </c>
      <c r="AA10">
        <v>287100</v>
      </c>
      <c r="AB10">
        <v>16</v>
      </c>
      <c r="AC10">
        <v>15.9</v>
      </c>
      <c r="AD10">
        <v>-2775</v>
      </c>
      <c r="AE10">
        <v>-124.350000000005</v>
      </c>
      <c r="AF10">
        <v>49125</v>
      </c>
      <c r="AG10">
        <v>-192150</v>
      </c>
      <c r="AH10" t="s">
        <v>22</v>
      </c>
      <c r="AI10">
        <v>-113175</v>
      </c>
      <c r="AJ10" t="s">
        <v>22</v>
      </c>
      <c r="AK10">
        <v>167</v>
      </c>
      <c r="AL10">
        <v>183.75</v>
      </c>
      <c r="AM10">
        <v>189.5</v>
      </c>
      <c r="AN10">
        <v>165</v>
      </c>
      <c r="AO10">
        <v>133.74</v>
      </c>
      <c r="AP10" s="1">
        <v>45741.413194444445</v>
      </c>
      <c r="AQ10">
        <v>-9.5499999999999901</v>
      </c>
      <c r="AR10">
        <v>4034700</v>
      </c>
      <c r="AS10">
        <v>180</v>
      </c>
      <c r="AT10">
        <v>343725</v>
      </c>
      <c r="AU10">
        <v>361200</v>
      </c>
      <c r="AV10">
        <v>-9.15</v>
      </c>
      <c r="AW10">
        <v>-9.1499999999999897</v>
      </c>
      <c r="AX10">
        <v>-17475</v>
      </c>
      <c r="AY10">
        <v>-78.699999999997004</v>
      </c>
      <c r="AZ10">
        <v>54075</v>
      </c>
      <c r="BA10">
        <v>975</v>
      </c>
      <c r="BB10" t="s">
        <v>21</v>
      </c>
      <c r="BC10">
        <v>44175</v>
      </c>
      <c r="BD10" t="s">
        <v>20</v>
      </c>
      <c r="BE10">
        <v>106.3</v>
      </c>
      <c r="BF10">
        <v>96.75</v>
      </c>
      <c r="BG10">
        <v>107.5</v>
      </c>
      <c r="BH10">
        <v>95.6</v>
      </c>
      <c r="BI10">
        <v>143.33000000000001</v>
      </c>
      <c r="BJ10" s="1">
        <v>45741.413194444445</v>
      </c>
      <c r="BK10">
        <v>1742876700</v>
      </c>
      <c r="BL10">
        <f t="shared" si="1"/>
        <v>0.12000000000000099</v>
      </c>
      <c r="BM10">
        <f t="shared" si="2"/>
        <v>0.1236079545454595</v>
      </c>
      <c r="BN10" s="3">
        <f t="shared" si="3"/>
        <v>-1</v>
      </c>
      <c r="BO10">
        <v>14.04</v>
      </c>
      <c r="BP10">
        <v>14.17</v>
      </c>
      <c r="BQ10">
        <v>14.02</v>
      </c>
      <c r="BR10">
        <v>14.16</v>
      </c>
      <c r="BS10">
        <v>0</v>
      </c>
    </row>
    <row r="11" spans="1:71" x14ac:dyDescent="0.25">
      <c r="A11" s="1">
        <v>45741.416666666664</v>
      </c>
      <c r="B11">
        <v>-23.649999999997799</v>
      </c>
      <c r="C11">
        <v>177600</v>
      </c>
      <c r="D11">
        <v>178</v>
      </c>
      <c r="E11">
        <v>119775</v>
      </c>
      <c r="F11">
        <v>83625</v>
      </c>
      <c r="G11">
        <v>-29.849999999998499</v>
      </c>
      <c r="H11">
        <v>-29</v>
      </c>
      <c r="I11">
        <v>36150</v>
      </c>
      <c r="J11">
        <v>-886.09999999776403</v>
      </c>
      <c r="K11">
        <v>36750</v>
      </c>
      <c r="L11">
        <v>-1725</v>
      </c>
      <c r="M11" t="s">
        <v>20</v>
      </c>
      <c r="N11">
        <v>30825</v>
      </c>
      <c r="O11" t="s">
        <v>20</v>
      </c>
      <c r="P11">
        <v>23778.1</v>
      </c>
      <c r="Q11">
        <v>23880.55</v>
      </c>
      <c r="R11">
        <v>23856.9</v>
      </c>
      <c r="S11">
        <v>23885</v>
      </c>
      <c r="T11">
        <v>23844</v>
      </c>
      <c r="U11">
        <f t="shared" si="0"/>
        <v>23.649999999997817</v>
      </c>
      <c r="V11" s="1">
        <v>45741.416666666664</v>
      </c>
      <c r="W11">
        <v>-16.8</v>
      </c>
      <c r="X11">
        <v>3966450</v>
      </c>
      <c r="Y11">
        <v>180</v>
      </c>
      <c r="Z11">
        <v>197850</v>
      </c>
      <c r="AA11">
        <v>211800</v>
      </c>
      <c r="AB11">
        <v>-17.1999999999999</v>
      </c>
      <c r="AC11">
        <v>-17.25</v>
      </c>
      <c r="AD11">
        <v>-13950</v>
      </c>
      <c r="AE11">
        <v>-128.29999999998799</v>
      </c>
      <c r="AF11">
        <v>46200</v>
      </c>
      <c r="AG11">
        <v>-125475</v>
      </c>
      <c r="AH11" t="s">
        <v>21</v>
      </c>
      <c r="AI11">
        <v>186975</v>
      </c>
      <c r="AJ11" t="s">
        <v>22</v>
      </c>
      <c r="AK11">
        <v>183.4</v>
      </c>
      <c r="AL11">
        <v>166.6</v>
      </c>
      <c r="AM11">
        <v>184</v>
      </c>
      <c r="AN11">
        <v>159.5</v>
      </c>
      <c r="AO11">
        <v>135.94999999999999</v>
      </c>
      <c r="AP11" s="1">
        <v>45741.416666666664</v>
      </c>
      <c r="AQ11">
        <v>12.35</v>
      </c>
      <c r="AR11">
        <v>3930975</v>
      </c>
      <c r="AS11">
        <v>180</v>
      </c>
      <c r="AT11">
        <v>315450</v>
      </c>
      <c r="AU11">
        <v>430050</v>
      </c>
      <c r="AV11">
        <v>12.5999999999999</v>
      </c>
      <c r="AW11">
        <v>12.65</v>
      </c>
      <c r="AX11">
        <v>-114600</v>
      </c>
      <c r="AY11">
        <v>-77.950000000004295</v>
      </c>
      <c r="AZ11">
        <v>43275</v>
      </c>
      <c r="BA11">
        <v>48075</v>
      </c>
      <c r="BB11" t="s">
        <v>22</v>
      </c>
      <c r="BC11">
        <v>21600</v>
      </c>
      <c r="BD11" t="s">
        <v>20</v>
      </c>
      <c r="BE11">
        <v>97.05</v>
      </c>
      <c r="BF11">
        <v>109.4</v>
      </c>
      <c r="BG11">
        <v>112.8</v>
      </c>
      <c r="BH11">
        <v>97.05</v>
      </c>
      <c r="BI11">
        <v>139.15</v>
      </c>
      <c r="BJ11" s="1">
        <v>45741.416666666664</v>
      </c>
      <c r="BK11">
        <v>1742877000</v>
      </c>
      <c r="BL11">
        <f t="shared" si="1"/>
        <v>9.9999999999997868E-3</v>
      </c>
      <c r="BM11">
        <f t="shared" si="2"/>
        <v>0.12765624999998523</v>
      </c>
      <c r="BN11" s="3">
        <f t="shared" si="3"/>
        <v>-1</v>
      </c>
      <c r="BO11">
        <v>14.17</v>
      </c>
      <c r="BP11">
        <v>14.21</v>
      </c>
      <c r="BQ11">
        <v>14.12</v>
      </c>
      <c r="BR11">
        <v>14.16</v>
      </c>
      <c r="BS11">
        <v>0</v>
      </c>
    </row>
    <row r="12" spans="1:71" x14ac:dyDescent="0.25">
      <c r="A12" s="1">
        <v>45741.420138888891</v>
      </c>
      <c r="B12">
        <v>-21.5500000000029</v>
      </c>
      <c r="C12">
        <v>112875</v>
      </c>
      <c r="D12">
        <v>158</v>
      </c>
      <c r="E12">
        <v>76575</v>
      </c>
      <c r="F12">
        <v>66000</v>
      </c>
      <c r="G12">
        <v>-18.649999999997799</v>
      </c>
      <c r="H12">
        <v>-22.349999999998499</v>
      </c>
      <c r="I12">
        <v>10575</v>
      </c>
      <c r="J12">
        <v>-696.34999999962702</v>
      </c>
      <c r="K12">
        <v>35400</v>
      </c>
      <c r="L12">
        <v>20325</v>
      </c>
      <c r="M12" t="s">
        <v>21</v>
      </c>
      <c r="N12">
        <v>12300</v>
      </c>
      <c r="O12" t="s">
        <v>20</v>
      </c>
      <c r="P12">
        <v>23781.040000000001</v>
      </c>
      <c r="Q12">
        <v>23856.9</v>
      </c>
      <c r="R12">
        <v>23835.35</v>
      </c>
      <c r="S12">
        <v>23865</v>
      </c>
      <c r="T12">
        <v>23834</v>
      </c>
      <c r="U12">
        <f t="shared" si="0"/>
        <v>21.55000000000291</v>
      </c>
      <c r="V12" s="1">
        <v>45741.420138888891</v>
      </c>
      <c r="W12">
        <v>-7.8000000000000096</v>
      </c>
      <c r="X12">
        <v>3042300</v>
      </c>
      <c r="Y12">
        <v>180</v>
      </c>
      <c r="Z12">
        <v>315225</v>
      </c>
      <c r="AA12">
        <v>213300</v>
      </c>
      <c r="AB12">
        <v>-7.5</v>
      </c>
      <c r="AC12">
        <v>-7.5500000000000096</v>
      </c>
      <c r="AD12">
        <v>101925</v>
      </c>
      <c r="AE12">
        <v>-125.300000000002</v>
      </c>
      <c r="AF12">
        <v>45375</v>
      </c>
      <c r="AG12">
        <v>-51825</v>
      </c>
      <c r="AH12" t="s">
        <v>21</v>
      </c>
      <c r="AI12">
        <v>109425</v>
      </c>
      <c r="AJ12" t="s">
        <v>20</v>
      </c>
      <c r="AK12">
        <v>166.3</v>
      </c>
      <c r="AL12">
        <v>158.5</v>
      </c>
      <c r="AM12">
        <v>173.7</v>
      </c>
      <c r="AN12">
        <v>155.75</v>
      </c>
      <c r="AO12">
        <v>137.25</v>
      </c>
      <c r="AP12" s="1">
        <v>45741.420138888891</v>
      </c>
      <c r="AQ12">
        <v>7.95</v>
      </c>
      <c r="AR12">
        <v>3816300</v>
      </c>
      <c r="AS12">
        <v>180</v>
      </c>
      <c r="AT12">
        <v>282975</v>
      </c>
      <c r="AU12">
        <v>348225</v>
      </c>
      <c r="AV12">
        <v>7.95</v>
      </c>
      <c r="AW12">
        <v>8</v>
      </c>
      <c r="AX12">
        <v>-65250</v>
      </c>
      <c r="AY12">
        <v>-76.949999999997004</v>
      </c>
      <c r="AZ12">
        <v>46050</v>
      </c>
      <c r="BA12">
        <v>32850</v>
      </c>
      <c r="BB12" t="s">
        <v>20</v>
      </c>
      <c r="BC12">
        <v>-68250</v>
      </c>
      <c r="BD12" t="s">
        <v>22</v>
      </c>
      <c r="BE12">
        <v>109.6</v>
      </c>
      <c r="BF12">
        <v>117.55</v>
      </c>
      <c r="BG12">
        <v>119.4</v>
      </c>
      <c r="BH12">
        <v>104.45</v>
      </c>
      <c r="BI12">
        <v>136.49</v>
      </c>
      <c r="BJ12" s="1">
        <v>45741.420138888891</v>
      </c>
      <c r="BK12">
        <v>1742877300</v>
      </c>
      <c r="BL12">
        <f t="shared" si="1"/>
        <v>4.9999999999998934E-2</v>
      </c>
      <c r="BM12">
        <f t="shared" si="2"/>
        <v>0.11632102272728571</v>
      </c>
      <c r="BN12" s="3">
        <f t="shared" si="3"/>
        <v>-1</v>
      </c>
      <c r="BO12">
        <v>14.15</v>
      </c>
      <c r="BP12">
        <v>14.24</v>
      </c>
      <c r="BQ12">
        <v>14.15</v>
      </c>
      <c r="BR12">
        <v>14.2</v>
      </c>
      <c r="BS12">
        <v>0</v>
      </c>
    </row>
    <row r="13" spans="1:71" x14ac:dyDescent="0.25">
      <c r="A13" s="1">
        <v>45741.423611111109</v>
      </c>
      <c r="B13">
        <v>-38.75</v>
      </c>
      <c r="C13">
        <v>167175</v>
      </c>
      <c r="D13">
        <v>171</v>
      </c>
      <c r="E13">
        <v>60150</v>
      </c>
      <c r="F13">
        <v>171450</v>
      </c>
      <c r="G13">
        <v>-38.049999999999201</v>
      </c>
      <c r="H13">
        <v>-40.350000000002098</v>
      </c>
      <c r="I13">
        <v>-111300</v>
      </c>
      <c r="J13">
        <v>-1297.0499999998101</v>
      </c>
      <c r="K13">
        <v>40875</v>
      </c>
      <c r="L13">
        <v>-53400</v>
      </c>
      <c r="M13" t="s">
        <v>22</v>
      </c>
      <c r="N13">
        <v>38025</v>
      </c>
      <c r="O13" t="s">
        <v>22</v>
      </c>
      <c r="P13">
        <v>23783.33</v>
      </c>
      <c r="Q13">
        <v>23835</v>
      </c>
      <c r="R13">
        <v>23796.25</v>
      </c>
      <c r="S13">
        <v>23839.95</v>
      </c>
      <c r="T13">
        <v>23796</v>
      </c>
      <c r="U13">
        <f t="shared" si="0"/>
        <v>38.75</v>
      </c>
      <c r="V13" s="1">
        <v>45741.423611111109</v>
      </c>
      <c r="W13">
        <v>-26.1999999999999</v>
      </c>
      <c r="X13">
        <v>4301025</v>
      </c>
      <c r="Y13">
        <v>181</v>
      </c>
      <c r="Z13">
        <v>225300</v>
      </c>
      <c r="AA13">
        <v>224775</v>
      </c>
      <c r="AB13">
        <v>-22.849999999999898</v>
      </c>
      <c r="AC13">
        <v>-22.849999999999898</v>
      </c>
      <c r="AD13">
        <v>525</v>
      </c>
      <c r="AE13">
        <v>-115.349999999998</v>
      </c>
      <c r="AF13">
        <v>37575</v>
      </c>
      <c r="AG13">
        <v>-142050</v>
      </c>
      <c r="AH13" t="s">
        <v>22</v>
      </c>
      <c r="AI13">
        <v>124875</v>
      </c>
      <c r="AJ13" t="s">
        <v>20</v>
      </c>
      <c r="AK13">
        <v>158.75</v>
      </c>
      <c r="AL13">
        <v>132.55000000000001</v>
      </c>
      <c r="AM13">
        <v>159.4</v>
      </c>
      <c r="AN13">
        <v>132.55000000000001</v>
      </c>
      <c r="AO13">
        <v>138.04</v>
      </c>
      <c r="AP13" s="1">
        <v>45741.423611111109</v>
      </c>
      <c r="AQ13">
        <v>23.049999999999901</v>
      </c>
      <c r="AR13">
        <v>6114450</v>
      </c>
      <c r="AS13">
        <v>181</v>
      </c>
      <c r="AT13">
        <v>246150</v>
      </c>
      <c r="AU13">
        <v>441525</v>
      </c>
      <c r="AV13">
        <v>20.45</v>
      </c>
      <c r="AW13">
        <v>20.6</v>
      </c>
      <c r="AX13">
        <v>-195375</v>
      </c>
      <c r="AY13">
        <v>-90.650000000008703</v>
      </c>
      <c r="AZ13">
        <v>43425</v>
      </c>
      <c r="BA13">
        <v>95175</v>
      </c>
      <c r="BB13" t="s">
        <v>22</v>
      </c>
      <c r="BC13">
        <v>-219675</v>
      </c>
      <c r="BD13" t="s">
        <v>22</v>
      </c>
      <c r="BE13">
        <v>117.95</v>
      </c>
      <c r="BF13">
        <v>141</v>
      </c>
      <c r="BG13">
        <v>141</v>
      </c>
      <c r="BH13">
        <v>116</v>
      </c>
      <c r="BI13">
        <v>134.97999999999999</v>
      </c>
      <c r="BJ13" s="1">
        <v>45741.423611111109</v>
      </c>
      <c r="BK13">
        <v>1742877600</v>
      </c>
      <c r="BL13">
        <f t="shared" si="1"/>
        <v>5.9999999999998721E-2</v>
      </c>
      <c r="BM13">
        <f t="shared" si="2"/>
        <v>0.20916193181817694</v>
      </c>
      <c r="BN13" s="3">
        <f t="shared" si="3"/>
        <v>-1</v>
      </c>
      <c r="BO13">
        <v>14.21</v>
      </c>
      <c r="BP13">
        <v>14.29</v>
      </c>
      <c r="BQ13">
        <v>14.17</v>
      </c>
      <c r="BR13">
        <v>14.27</v>
      </c>
      <c r="BS13">
        <v>0</v>
      </c>
    </row>
    <row r="14" spans="1:71" x14ac:dyDescent="0.25">
      <c r="A14" s="1">
        <v>45741.427083333336</v>
      </c>
      <c r="B14">
        <v>32.75</v>
      </c>
      <c r="C14">
        <v>172800</v>
      </c>
      <c r="D14">
        <v>173</v>
      </c>
      <c r="E14">
        <v>103200</v>
      </c>
      <c r="F14">
        <v>123600</v>
      </c>
      <c r="G14">
        <v>30.950000000000699</v>
      </c>
      <c r="H14">
        <v>33.900000000001398</v>
      </c>
      <c r="I14">
        <v>-20400</v>
      </c>
      <c r="J14">
        <v>-1567.1499999985001</v>
      </c>
      <c r="K14">
        <v>39600</v>
      </c>
      <c r="L14">
        <v>54600</v>
      </c>
      <c r="M14" t="s">
        <v>21</v>
      </c>
      <c r="N14">
        <v>14850</v>
      </c>
      <c r="O14" t="s">
        <v>20</v>
      </c>
      <c r="P14">
        <v>23784.68</v>
      </c>
      <c r="Q14">
        <v>23790.1</v>
      </c>
      <c r="R14">
        <v>23822.85</v>
      </c>
      <c r="S14">
        <v>23837.200000000001</v>
      </c>
      <c r="T14">
        <v>23780</v>
      </c>
      <c r="U14">
        <f t="shared" si="0"/>
        <v>32.75</v>
      </c>
      <c r="V14" s="1">
        <v>45741.427083333336</v>
      </c>
      <c r="W14">
        <v>20.599999999999898</v>
      </c>
      <c r="X14">
        <v>6311625</v>
      </c>
      <c r="Y14">
        <v>180</v>
      </c>
      <c r="Z14">
        <v>171450</v>
      </c>
      <c r="AA14">
        <v>200700</v>
      </c>
      <c r="AB14">
        <v>19.099999999999898</v>
      </c>
      <c r="AC14">
        <v>19.05</v>
      </c>
      <c r="AD14">
        <v>-29250</v>
      </c>
      <c r="AE14">
        <v>-115.249999999992</v>
      </c>
      <c r="AF14">
        <v>44325</v>
      </c>
      <c r="AG14">
        <v>169875</v>
      </c>
      <c r="AH14" t="s">
        <v>21</v>
      </c>
      <c r="AI14">
        <v>116625</v>
      </c>
      <c r="AJ14" t="s">
        <v>20</v>
      </c>
      <c r="AK14">
        <v>132.15</v>
      </c>
      <c r="AL14">
        <v>152.75</v>
      </c>
      <c r="AM14">
        <v>158.9</v>
      </c>
      <c r="AN14">
        <v>126.6</v>
      </c>
      <c r="AO14">
        <v>138.59</v>
      </c>
      <c r="AP14" s="1">
        <v>45741.427083333336</v>
      </c>
      <c r="AQ14">
        <v>-17.899999999999899</v>
      </c>
      <c r="AR14">
        <v>5901975</v>
      </c>
      <c r="AS14">
        <v>180</v>
      </c>
      <c r="AT14">
        <v>191250</v>
      </c>
      <c r="AU14">
        <v>218625</v>
      </c>
      <c r="AV14">
        <v>-16.649999999999999</v>
      </c>
      <c r="AW14">
        <v>-16.599999999999898</v>
      </c>
      <c r="AX14">
        <v>-27375</v>
      </c>
      <c r="AY14">
        <v>-104.75000000000701</v>
      </c>
      <c r="AZ14">
        <v>40500</v>
      </c>
      <c r="BA14">
        <v>-112350</v>
      </c>
      <c r="BB14" t="s">
        <v>21</v>
      </c>
      <c r="BC14">
        <v>115725</v>
      </c>
      <c r="BD14" t="s">
        <v>21</v>
      </c>
      <c r="BE14">
        <v>141.19999999999999</v>
      </c>
      <c r="BF14">
        <v>123.3</v>
      </c>
      <c r="BG14">
        <v>146.5</v>
      </c>
      <c r="BH14">
        <v>118.85</v>
      </c>
      <c r="BI14">
        <v>134.79</v>
      </c>
      <c r="BJ14" s="1">
        <v>45741.427083333336</v>
      </c>
      <c r="BK14">
        <v>1742877900</v>
      </c>
      <c r="BL14">
        <f t="shared" si="1"/>
        <v>2.000000000000135E-2</v>
      </c>
      <c r="BM14">
        <f t="shared" si="2"/>
        <v>0.17677556818181406</v>
      </c>
      <c r="BN14" s="3">
        <f t="shared" si="3"/>
        <v>-1</v>
      </c>
      <c r="BO14">
        <v>14.28</v>
      </c>
      <c r="BP14">
        <v>14.33</v>
      </c>
      <c r="BQ14">
        <v>14.18</v>
      </c>
      <c r="BR14">
        <v>14.3</v>
      </c>
      <c r="BS14">
        <v>0</v>
      </c>
    </row>
    <row r="15" spans="1:71" x14ac:dyDescent="0.25">
      <c r="A15" s="1">
        <v>45741.430555555555</v>
      </c>
      <c r="B15">
        <v>15.399999999997799</v>
      </c>
      <c r="C15">
        <v>96300</v>
      </c>
      <c r="D15">
        <v>165</v>
      </c>
      <c r="E15">
        <v>62850</v>
      </c>
      <c r="F15">
        <v>99975</v>
      </c>
      <c r="G15">
        <v>18.649999999997799</v>
      </c>
      <c r="H15">
        <v>15</v>
      </c>
      <c r="I15">
        <v>-37125</v>
      </c>
      <c r="J15">
        <v>-1189.7999999988799</v>
      </c>
      <c r="K15">
        <v>27675</v>
      </c>
      <c r="L15">
        <v>-6750</v>
      </c>
      <c r="M15" t="s">
        <v>22</v>
      </c>
      <c r="N15">
        <v>29250</v>
      </c>
      <c r="O15" t="s">
        <v>20</v>
      </c>
      <c r="P15">
        <v>23786.33</v>
      </c>
      <c r="Q15">
        <v>23826.95</v>
      </c>
      <c r="R15">
        <v>23842.35</v>
      </c>
      <c r="S15">
        <v>23850</v>
      </c>
      <c r="T15">
        <v>23819.65</v>
      </c>
      <c r="U15">
        <f t="shared" si="0"/>
        <v>15.399999999997817</v>
      </c>
      <c r="V15" s="1">
        <v>45741.430555555555</v>
      </c>
      <c r="W15">
        <v>7.4</v>
      </c>
      <c r="X15">
        <v>4050450</v>
      </c>
      <c r="Y15">
        <v>181</v>
      </c>
      <c r="Z15">
        <v>285975</v>
      </c>
      <c r="AA15">
        <v>273900</v>
      </c>
      <c r="AB15">
        <v>8.3000000000000096</v>
      </c>
      <c r="AC15">
        <v>8.3499999999999908</v>
      </c>
      <c r="AD15">
        <v>12075</v>
      </c>
      <c r="AE15">
        <v>-124.39999999999399</v>
      </c>
      <c r="AF15">
        <v>38850</v>
      </c>
      <c r="AG15">
        <v>61275</v>
      </c>
      <c r="AH15" t="s">
        <v>20</v>
      </c>
      <c r="AI15">
        <v>75225</v>
      </c>
      <c r="AJ15" t="s">
        <v>20</v>
      </c>
      <c r="AK15">
        <v>152.9</v>
      </c>
      <c r="AL15">
        <v>160.30000000000001</v>
      </c>
      <c r="AM15">
        <v>163.95</v>
      </c>
      <c r="AN15">
        <v>150.9</v>
      </c>
      <c r="AO15">
        <v>139.62</v>
      </c>
      <c r="AP15" s="1">
        <v>45741.430555555555</v>
      </c>
      <c r="AQ15">
        <v>-10.799999999999899</v>
      </c>
      <c r="AR15">
        <v>2772975</v>
      </c>
      <c r="AS15">
        <v>180</v>
      </c>
      <c r="AT15">
        <v>232650</v>
      </c>
      <c r="AU15">
        <v>228750</v>
      </c>
      <c r="AV15">
        <v>-9.85</v>
      </c>
      <c r="AW15">
        <v>-9.9499999999999993</v>
      </c>
      <c r="AX15">
        <v>3900</v>
      </c>
      <c r="AY15">
        <v>-85.449999999997004</v>
      </c>
      <c r="AZ15">
        <v>44550</v>
      </c>
      <c r="BA15">
        <v>59250</v>
      </c>
      <c r="BB15" t="s">
        <v>22</v>
      </c>
      <c r="BC15">
        <v>70275</v>
      </c>
      <c r="BD15" t="s">
        <v>20</v>
      </c>
      <c r="BE15">
        <v>123.5</v>
      </c>
      <c r="BF15">
        <v>112.7</v>
      </c>
      <c r="BG15">
        <v>125.6</v>
      </c>
      <c r="BH15">
        <v>110.45</v>
      </c>
      <c r="BI15">
        <v>133.79</v>
      </c>
      <c r="BJ15" s="1">
        <v>45741.430555555555</v>
      </c>
      <c r="BK15">
        <v>1742878200</v>
      </c>
      <c r="BL15">
        <f t="shared" si="1"/>
        <v>7.0000000000000284E-2</v>
      </c>
      <c r="BM15">
        <f t="shared" si="2"/>
        <v>8.3124999999986265E-2</v>
      </c>
      <c r="BN15" s="3">
        <f t="shared" si="3"/>
        <v>-1</v>
      </c>
      <c r="BO15">
        <v>14.28</v>
      </c>
      <c r="BP15">
        <v>14.41</v>
      </c>
      <c r="BQ15">
        <v>14.25</v>
      </c>
      <c r="BR15">
        <v>14.35</v>
      </c>
      <c r="BS15">
        <v>0</v>
      </c>
    </row>
    <row r="16" spans="1:71" s="3" customFormat="1" x14ac:dyDescent="0.25">
      <c r="A16" s="2">
        <v>45741.434027777781</v>
      </c>
      <c r="B16" s="3">
        <v>-5.4000000000014499</v>
      </c>
      <c r="C16">
        <v>104550</v>
      </c>
      <c r="D16">
        <v>154</v>
      </c>
      <c r="E16">
        <v>49875</v>
      </c>
      <c r="F16">
        <v>64425</v>
      </c>
      <c r="G16">
        <v>-4</v>
      </c>
      <c r="H16">
        <v>-5.25</v>
      </c>
      <c r="I16">
        <v>-14550</v>
      </c>
      <c r="J16">
        <v>-996.89999999850897</v>
      </c>
      <c r="K16">
        <v>30750</v>
      </c>
      <c r="L16">
        <v>19200</v>
      </c>
      <c r="M16" t="s">
        <v>21</v>
      </c>
      <c r="N16">
        <v>225</v>
      </c>
      <c r="O16" t="s">
        <v>21</v>
      </c>
      <c r="P16">
        <v>23788.16</v>
      </c>
      <c r="Q16">
        <v>23845</v>
      </c>
      <c r="R16">
        <v>23839.599999999999</v>
      </c>
      <c r="S16" s="3">
        <v>23856.35</v>
      </c>
      <c r="T16" s="3">
        <v>23830.15</v>
      </c>
      <c r="U16" s="3">
        <f t="shared" si="0"/>
        <v>5.4000000000014552</v>
      </c>
      <c r="V16" s="1">
        <v>45741.434027777781</v>
      </c>
      <c r="W16">
        <v>-7.15</v>
      </c>
      <c r="X16">
        <v>2773125</v>
      </c>
      <c r="Y16">
        <v>179</v>
      </c>
      <c r="Z16">
        <v>259500</v>
      </c>
      <c r="AA16">
        <v>323325</v>
      </c>
      <c r="AB16">
        <v>-7.4500000000000099</v>
      </c>
      <c r="AC16">
        <v>-7.4500000000000099</v>
      </c>
      <c r="AD16">
        <v>-63825</v>
      </c>
      <c r="AE16">
        <v>-121.050000000002</v>
      </c>
      <c r="AF16">
        <v>42525</v>
      </c>
      <c r="AG16">
        <v>-61275</v>
      </c>
      <c r="AH16" t="s">
        <v>22</v>
      </c>
      <c r="AI16">
        <v>46575</v>
      </c>
      <c r="AJ16" t="s">
        <v>20</v>
      </c>
      <c r="AK16">
        <v>160.30000000000001</v>
      </c>
      <c r="AL16">
        <v>153.15</v>
      </c>
      <c r="AM16">
        <v>162.94999999999999</v>
      </c>
      <c r="AN16">
        <v>152.69999999999999</v>
      </c>
      <c r="AO16">
        <v>140.24</v>
      </c>
      <c r="AP16" s="1">
        <v>45741.434027777781</v>
      </c>
      <c r="AQ16">
        <v>2.0999999999999899</v>
      </c>
      <c r="AR16">
        <v>2438925</v>
      </c>
      <c r="AS16">
        <v>180</v>
      </c>
      <c r="AT16">
        <v>340200</v>
      </c>
      <c r="AU16">
        <v>253650</v>
      </c>
      <c r="AV16">
        <v>2.2000000000000002</v>
      </c>
      <c r="AW16">
        <v>2.15</v>
      </c>
      <c r="AX16">
        <v>86550</v>
      </c>
      <c r="AY16">
        <v>-83.349999999991198</v>
      </c>
      <c r="AZ16">
        <v>42675</v>
      </c>
      <c r="BA16">
        <v>47550</v>
      </c>
      <c r="BB16" t="s">
        <v>20</v>
      </c>
      <c r="BC16">
        <v>34950</v>
      </c>
      <c r="BD16" t="s">
        <v>20</v>
      </c>
      <c r="BE16">
        <v>112.7</v>
      </c>
      <c r="BF16">
        <v>114.8</v>
      </c>
      <c r="BG16">
        <v>118</v>
      </c>
      <c r="BH16">
        <v>106.2</v>
      </c>
      <c r="BI16">
        <v>132.83000000000001</v>
      </c>
      <c r="BJ16" s="1">
        <v>45741.434027777781</v>
      </c>
      <c r="BK16">
        <v>1742878500</v>
      </c>
      <c r="BL16" s="3">
        <f t="shared" si="1"/>
        <v>2.9999999999999361E-2</v>
      </c>
      <c r="BM16" s="3">
        <f t="shared" si="2"/>
        <v>2.9147727272734448E-2</v>
      </c>
      <c r="BN16" s="3">
        <f t="shared" si="3"/>
        <v>1</v>
      </c>
      <c r="BO16" s="3">
        <v>14.33</v>
      </c>
      <c r="BP16" s="3">
        <v>14.38</v>
      </c>
      <c r="BQ16" s="3">
        <v>14.27</v>
      </c>
      <c r="BR16" s="3">
        <v>14.3</v>
      </c>
      <c r="BS16" s="3">
        <v>0</v>
      </c>
    </row>
    <row r="17" spans="1:71" x14ac:dyDescent="0.25">
      <c r="A17" s="1">
        <v>45741.4375</v>
      </c>
      <c r="B17">
        <v>-20.700000000000699</v>
      </c>
      <c r="C17">
        <v>83025</v>
      </c>
      <c r="D17">
        <v>147</v>
      </c>
      <c r="E17">
        <v>70575</v>
      </c>
      <c r="F17">
        <v>108675</v>
      </c>
      <c r="G17">
        <v>-21.950000000000699</v>
      </c>
      <c r="H17">
        <v>-26.25</v>
      </c>
      <c r="I17">
        <v>-38100</v>
      </c>
      <c r="J17">
        <v>-893.95000000018604</v>
      </c>
      <c r="K17">
        <v>29550</v>
      </c>
      <c r="L17">
        <v>-29250</v>
      </c>
      <c r="M17" t="s">
        <v>22</v>
      </c>
      <c r="N17">
        <v>9750</v>
      </c>
      <c r="O17" t="s">
        <v>20</v>
      </c>
      <c r="P17">
        <v>23788.95</v>
      </c>
      <c r="Q17">
        <v>23832.45</v>
      </c>
      <c r="R17">
        <v>23811.75</v>
      </c>
      <c r="S17">
        <v>23838.1</v>
      </c>
      <c r="T17">
        <v>23806.35</v>
      </c>
      <c r="U17">
        <f t="shared" si="0"/>
        <v>20.700000000000728</v>
      </c>
      <c r="V17" s="1">
        <v>45741.4375</v>
      </c>
      <c r="W17">
        <v>-16.05</v>
      </c>
      <c r="X17">
        <v>3746550</v>
      </c>
      <c r="Y17">
        <v>180</v>
      </c>
      <c r="Z17">
        <v>234300</v>
      </c>
      <c r="AA17">
        <v>302025</v>
      </c>
      <c r="AB17">
        <v>-15.9499999999999</v>
      </c>
      <c r="AC17">
        <v>-16.099999999999898</v>
      </c>
      <c r="AD17">
        <v>-67725</v>
      </c>
      <c r="AE17">
        <v>-111.099999999991</v>
      </c>
      <c r="AF17">
        <v>42750</v>
      </c>
      <c r="AG17">
        <v>-46275</v>
      </c>
      <c r="AH17" t="s">
        <v>20</v>
      </c>
      <c r="AI17">
        <v>50925</v>
      </c>
      <c r="AJ17" t="s">
        <v>20</v>
      </c>
      <c r="AK17">
        <v>153.05000000000001</v>
      </c>
      <c r="AL17">
        <v>137</v>
      </c>
      <c r="AM17">
        <v>153.80000000000001</v>
      </c>
      <c r="AN17">
        <v>135.19999999999999</v>
      </c>
      <c r="AO17">
        <v>140.37</v>
      </c>
      <c r="AP17" s="1">
        <v>45741.4375</v>
      </c>
      <c r="AQ17">
        <v>12.549999999999899</v>
      </c>
      <c r="AR17">
        <v>4385025</v>
      </c>
      <c r="AS17">
        <v>180</v>
      </c>
      <c r="AT17">
        <v>258525</v>
      </c>
      <c r="AU17">
        <v>359400</v>
      </c>
      <c r="AV17">
        <v>11.25</v>
      </c>
      <c r="AW17">
        <v>11.25</v>
      </c>
      <c r="AX17">
        <v>-100875</v>
      </c>
      <c r="AY17">
        <v>-88.799999999995606</v>
      </c>
      <c r="AZ17">
        <v>45300</v>
      </c>
      <c r="BA17">
        <v>15225</v>
      </c>
      <c r="BB17" t="s">
        <v>20</v>
      </c>
      <c r="BC17">
        <v>-11925</v>
      </c>
      <c r="BD17" t="s">
        <v>22</v>
      </c>
      <c r="BE17">
        <v>114.7</v>
      </c>
      <c r="BF17">
        <v>127.25</v>
      </c>
      <c r="BG17">
        <v>127.25</v>
      </c>
      <c r="BH17">
        <v>112.95</v>
      </c>
      <c r="BI17">
        <v>131.9</v>
      </c>
      <c r="BJ17" s="1">
        <v>45741.4375</v>
      </c>
      <c r="BK17">
        <v>1742878800</v>
      </c>
      <c r="BL17">
        <f t="shared" si="1"/>
        <v>0</v>
      </c>
      <c r="BM17">
        <f t="shared" si="2"/>
        <v>0.11173295454545587</v>
      </c>
      <c r="BN17" s="3">
        <f t="shared" si="3"/>
        <v>-1</v>
      </c>
      <c r="BO17">
        <v>14.29</v>
      </c>
      <c r="BP17">
        <v>14.3</v>
      </c>
      <c r="BQ17">
        <v>14.2</v>
      </c>
      <c r="BR17">
        <v>14.29</v>
      </c>
      <c r="BS17">
        <v>0</v>
      </c>
    </row>
    <row r="18" spans="1:71" x14ac:dyDescent="0.25">
      <c r="A18" s="1">
        <v>45741.440972222219</v>
      </c>
      <c r="B18">
        <v>-39.149999999997803</v>
      </c>
      <c r="C18">
        <v>259125</v>
      </c>
      <c r="D18">
        <v>173</v>
      </c>
      <c r="E18">
        <v>193200</v>
      </c>
      <c r="F18">
        <v>100575</v>
      </c>
      <c r="G18">
        <v>-39.799999999999201</v>
      </c>
      <c r="H18">
        <v>-41.799999999999201</v>
      </c>
      <c r="I18">
        <v>92625</v>
      </c>
      <c r="J18">
        <v>-1318.09999999962</v>
      </c>
      <c r="K18">
        <v>37275</v>
      </c>
      <c r="L18">
        <v>16425</v>
      </c>
      <c r="M18" t="s">
        <v>21</v>
      </c>
      <c r="N18">
        <v>11925</v>
      </c>
      <c r="O18" t="s">
        <v>20</v>
      </c>
      <c r="P18">
        <v>23787.61</v>
      </c>
      <c r="Q18">
        <v>23805.1</v>
      </c>
      <c r="R18">
        <v>23765.95</v>
      </c>
      <c r="S18">
        <v>23816.75</v>
      </c>
      <c r="T18">
        <v>23735</v>
      </c>
      <c r="U18">
        <f t="shared" si="0"/>
        <v>39.149999999997817</v>
      </c>
      <c r="V18" s="1">
        <v>45741.440972222219</v>
      </c>
      <c r="W18">
        <v>-22.7</v>
      </c>
      <c r="X18">
        <v>6811950</v>
      </c>
      <c r="Y18">
        <v>180</v>
      </c>
      <c r="Z18">
        <v>221475</v>
      </c>
      <c r="AA18">
        <v>333525</v>
      </c>
      <c r="AB18">
        <v>-22.25</v>
      </c>
      <c r="AC18">
        <v>-22.05</v>
      </c>
      <c r="AD18">
        <v>-112050</v>
      </c>
      <c r="AE18">
        <v>-89.25</v>
      </c>
      <c r="AF18">
        <v>41025</v>
      </c>
      <c r="AG18">
        <v>-57825</v>
      </c>
      <c r="AH18" t="s">
        <v>22</v>
      </c>
      <c r="AI18">
        <v>-85800</v>
      </c>
      <c r="AJ18" t="s">
        <v>21</v>
      </c>
      <c r="AK18">
        <v>138.05000000000001</v>
      </c>
      <c r="AL18">
        <v>115.35</v>
      </c>
      <c r="AM18">
        <v>139.5</v>
      </c>
      <c r="AN18">
        <v>100.15</v>
      </c>
      <c r="AO18">
        <v>138.75</v>
      </c>
      <c r="AP18" s="1">
        <v>45741.440972222219</v>
      </c>
      <c r="AQ18">
        <v>17.7</v>
      </c>
      <c r="AR18">
        <v>8740350</v>
      </c>
      <c r="AS18">
        <v>180</v>
      </c>
      <c r="AT18">
        <v>236475</v>
      </c>
      <c r="AU18">
        <v>229350</v>
      </c>
      <c r="AV18">
        <v>17.549999999999901</v>
      </c>
      <c r="AW18">
        <v>17.649999999999999</v>
      </c>
      <c r="AX18">
        <v>7125</v>
      </c>
      <c r="AY18">
        <v>-110.999999999992</v>
      </c>
      <c r="AZ18">
        <v>44850</v>
      </c>
      <c r="BA18">
        <v>-126450</v>
      </c>
      <c r="BB18" t="s">
        <v>21</v>
      </c>
      <c r="BC18">
        <v>-246825</v>
      </c>
      <c r="BD18" t="s">
        <v>22</v>
      </c>
      <c r="BE18">
        <v>126.3</v>
      </c>
      <c r="BF18">
        <v>144</v>
      </c>
      <c r="BG18">
        <v>164.25</v>
      </c>
      <c r="BH18">
        <v>122.5</v>
      </c>
      <c r="BI18">
        <v>133.44</v>
      </c>
      <c r="BJ18" s="1">
        <v>45741.440972222219</v>
      </c>
      <c r="BK18">
        <v>1742879100</v>
      </c>
      <c r="BL18">
        <f t="shared" si="1"/>
        <v>9.9999999999999645E-2</v>
      </c>
      <c r="BM18">
        <f t="shared" si="2"/>
        <v>0.211321022727256</v>
      </c>
      <c r="BN18" s="3">
        <f t="shared" si="3"/>
        <v>-1</v>
      </c>
      <c r="BO18">
        <v>14.28</v>
      </c>
      <c r="BP18">
        <v>14.3</v>
      </c>
      <c r="BQ18">
        <v>14.11</v>
      </c>
      <c r="BR18">
        <v>14.18</v>
      </c>
      <c r="BS18">
        <v>0</v>
      </c>
    </row>
    <row r="19" spans="1:71" x14ac:dyDescent="0.25">
      <c r="A19" s="1">
        <v>45741.444444444445</v>
      </c>
      <c r="B19">
        <v>21.700000000000699</v>
      </c>
      <c r="C19">
        <v>169575</v>
      </c>
      <c r="D19">
        <v>169</v>
      </c>
      <c r="E19">
        <v>158025</v>
      </c>
      <c r="F19">
        <v>100650</v>
      </c>
      <c r="G19">
        <v>21.75</v>
      </c>
      <c r="H19">
        <v>19.100000000002101</v>
      </c>
      <c r="I19">
        <v>57375</v>
      </c>
      <c r="J19">
        <v>-925.20000000018604</v>
      </c>
      <c r="K19">
        <v>33450</v>
      </c>
      <c r="L19">
        <v>40125</v>
      </c>
      <c r="M19" t="s">
        <v>21</v>
      </c>
      <c r="N19">
        <v>-10200</v>
      </c>
      <c r="O19" t="s">
        <v>21</v>
      </c>
      <c r="P19">
        <v>23786.59</v>
      </c>
      <c r="Q19">
        <v>23765.95</v>
      </c>
      <c r="R19">
        <v>23787.65</v>
      </c>
      <c r="S19">
        <v>23799.8</v>
      </c>
      <c r="T19">
        <v>23742.15</v>
      </c>
      <c r="U19">
        <f t="shared" si="0"/>
        <v>21.700000000000728</v>
      </c>
      <c r="V19" s="1">
        <v>45741.444444444445</v>
      </c>
      <c r="W19">
        <v>9.5499999999999901</v>
      </c>
      <c r="X19">
        <v>4518375</v>
      </c>
      <c r="Y19">
        <v>180</v>
      </c>
      <c r="Z19">
        <v>251325</v>
      </c>
      <c r="AA19">
        <v>297525</v>
      </c>
      <c r="AB19">
        <v>9.4499999999999993</v>
      </c>
      <c r="AC19">
        <v>9.4</v>
      </c>
      <c r="AD19">
        <v>-46200</v>
      </c>
      <c r="AE19">
        <v>-89.099999999998502</v>
      </c>
      <c r="AF19">
        <v>41400</v>
      </c>
      <c r="AG19">
        <v>23475</v>
      </c>
      <c r="AH19" t="s">
        <v>21</v>
      </c>
      <c r="AI19">
        <v>160275</v>
      </c>
      <c r="AJ19" t="s">
        <v>22</v>
      </c>
      <c r="AK19">
        <v>114.8</v>
      </c>
      <c r="AL19">
        <v>124.35</v>
      </c>
      <c r="AM19">
        <v>128.35</v>
      </c>
      <c r="AN19">
        <v>105</v>
      </c>
      <c r="AO19">
        <v>137.83000000000001</v>
      </c>
      <c r="AP19" s="1">
        <v>45741.444444444445</v>
      </c>
      <c r="AQ19">
        <v>-11.05</v>
      </c>
      <c r="AR19">
        <v>3403125</v>
      </c>
      <c r="AS19">
        <v>180</v>
      </c>
      <c r="AT19">
        <v>193200</v>
      </c>
      <c r="AU19">
        <v>226050</v>
      </c>
      <c r="AV19">
        <v>-10.5999999999999</v>
      </c>
      <c r="AW19">
        <v>-10.5</v>
      </c>
      <c r="AX19">
        <v>-32850</v>
      </c>
      <c r="AY19">
        <v>-116.200000000004</v>
      </c>
      <c r="AZ19">
        <v>43200</v>
      </c>
      <c r="BA19">
        <v>15375</v>
      </c>
      <c r="BB19" t="s">
        <v>22</v>
      </c>
      <c r="BC19">
        <v>51900</v>
      </c>
      <c r="BD19" t="s">
        <v>21</v>
      </c>
      <c r="BE19">
        <v>144.05000000000001</v>
      </c>
      <c r="BF19">
        <v>133</v>
      </c>
      <c r="BG19">
        <v>159.44999999999999</v>
      </c>
      <c r="BH19">
        <v>129</v>
      </c>
      <c r="BI19">
        <v>133.96</v>
      </c>
      <c r="BJ19" s="1">
        <v>45741.444444444445</v>
      </c>
      <c r="BK19">
        <v>1742879400</v>
      </c>
      <c r="BL19">
        <f t="shared" si="1"/>
        <v>4.0000000000000924E-2</v>
      </c>
      <c r="BM19">
        <f t="shared" si="2"/>
        <v>0.11713068181818301</v>
      </c>
      <c r="BN19" s="3">
        <f t="shared" si="3"/>
        <v>-1</v>
      </c>
      <c r="BO19">
        <v>14.2</v>
      </c>
      <c r="BP19">
        <v>14.3</v>
      </c>
      <c r="BQ19">
        <v>14.19</v>
      </c>
      <c r="BR19">
        <v>14.24</v>
      </c>
      <c r="BS19">
        <v>0</v>
      </c>
    </row>
    <row r="20" spans="1:71" x14ac:dyDescent="0.25">
      <c r="A20" s="1">
        <v>45741.447916666664</v>
      </c>
      <c r="B20">
        <v>-19.650000000001398</v>
      </c>
      <c r="C20">
        <v>99825</v>
      </c>
      <c r="D20">
        <v>145</v>
      </c>
      <c r="E20">
        <v>76575</v>
      </c>
      <c r="F20">
        <v>103200</v>
      </c>
      <c r="G20">
        <v>-16.049999999999201</v>
      </c>
      <c r="H20">
        <v>-17.5</v>
      </c>
      <c r="I20">
        <v>-26625</v>
      </c>
      <c r="J20">
        <v>-920.64999999944098</v>
      </c>
      <c r="K20">
        <v>27525</v>
      </c>
      <c r="L20">
        <v>19725</v>
      </c>
      <c r="M20" t="s">
        <v>20</v>
      </c>
      <c r="N20">
        <v>6075</v>
      </c>
      <c r="O20" t="s">
        <v>20</v>
      </c>
      <c r="P20">
        <v>23786.28</v>
      </c>
      <c r="Q20">
        <v>23787.65</v>
      </c>
      <c r="R20">
        <v>23768</v>
      </c>
      <c r="S20">
        <v>23794.95</v>
      </c>
      <c r="T20">
        <v>23762</v>
      </c>
      <c r="U20">
        <f t="shared" si="0"/>
        <v>19.650000000001455</v>
      </c>
      <c r="V20" s="1">
        <v>45741.447916666664</v>
      </c>
      <c r="W20">
        <v>-13.15</v>
      </c>
      <c r="X20">
        <v>2616000</v>
      </c>
      <c r="Y20">
        <v>179</v>
      </c>
      <c r="Z20">
        <v>279150</v>
      </c>
      <c r="AA20">
        <v>263925</v>
      </c>
      <c r="AB20">
        <v>-12.25</v>
      </c>
      <c r="AC20">
        <v>-12.3</v>
      </c>
      <c r="AD20">
        <v>15225</v>
      </c>
      <c r="AE20">
        <v>-89.099999999998502</v>
      </c>
      <c r="AF20">
        <v>40350</v>
      </c>
      <c r="AG20">
        <v>-46200</v>
      </c>
      <c r="AH20" t="s">
        <v>22</v>
      </c>
      <c r="AI20">
        <v>138000</v>
      </c>
      <c r="AJ20" t="s">
        <v>20</v>
      </c>
      <c r="AK20">
        <v>125.5</v>
      </c>
      <c r="AL20">
        <v>112.35</v>
      </c>
      <c r="AM20">
        <v>127.55</v>
      </c>
      <c r="AN20">
        <v>112.35</v>
      </c>
      <c r="AO20">
        <v>137.35</v>
      </c>
      <c r="AP20" s="1">
        <v>45741.447916666664</v>
      </c>
      <c r="AQ20">
        <v>7.4</v>
      </c>
      <c r="AR20">
        <v>2259675</v>
      </c>
      <c r="AS20">
        <v>180</v>
      </c>
      <c r="AT20">
        <v>194625</v>
      </c>
      <c r="AU20">
        <v>189900</v>
      </c>
      <c r="AV20">
        <v>6.4</v>
      </c>
      <c r="AW20">
        <v>6.3000000000000096</v>
      </c>
      <c r="AX20">
        <v>4725</v>
      </c>
      <c r="AY20">
        <v>-110.00000000000701</v>
      </c>
      <c r="AZ20">
        <v>42225</v>
      </c>
      <c r="BA20">
        <v>70500</v>
      </c>
      <c r="BB20" t="s">
        <v>22</v>
      </c>
      <c r="BC20">
        <v>37950</v>
      </c>
      <c r="BD20" t="s">
        <v>20</v>
      </c>
      <c r="BE20">
        <v>132.4</v>
      </c>
      <c r="BF20">
        <v>139.80000000000001</v>
      </c>
      <c r="BG20">
        <v>146.4</v>
      </c>
      <c r="BH20">
        <v>129.65</v>
      </c>
      <c r="BI20">
        <v>134.1</v>
      </c>
      <c r="BJ20" s="1">
        <v>45741.447916666664</v>
      </c>
      <c r="BK20">
        <v>1742879700</v>
      </c>
      <c r="BL20">
        <f t="shared" si="1"/>
        <v>4.9999999999998934E-2</v>
      </c>
      <c r="BM20">
        <f t="shared" si="2"/>
        <v>0.10606534090909628</v>
      </c>
      <c r="BN20" s="3">
        <f t="shared" si="3"/>
        <v>-1</v>
      </c>
      <c r="BO20">
        <v>14.23</v>
      </c>
      <c r="BP20">
        <v>14.32</v>
      </c>
      <c r="BQ20">
        <v>14.23</v>
      </c>
      <c r="BR20">
        <v>14.28</v>
      </c>
      <c r="BS20">
        <v>0</v>
      </c>
    </row>
    <row r="21" spans="1:71" x14ac:dyDescent="0.25">
      <c r="A21" s="1">
        <v>45741.451388888891</v>
      </c>
      <c r="B21">
        <v>-17</v>
      </c>
      <c r="C21">
        <v>86175</v>
      </c>
      <c r="D21">
        <v>142</v>
      </c>
      <c r="E21">
        <v>163275</v>
      </c>
      <c r="F21">
        <v>89175</v>
      </c>
      <c r="G21">
        <v>-16.150000000001398</v>
      </c>
      <c r="H21">
        <v>-18.599999999998499</v>
      </c>
      <c r="I21">
        <v>74100</v>
      </c>
      <c r="J21">
        <v>-1063.1999999992499</v>
      </c>
      <c r="K21">
        <v>27900</v>
      </c>
      <c r="L21">
        <v>-32250</v>
      </c>
      <c r="M21" t="s">
        <v>22</v>
      </c>
      <c r="N21">
        <v>9825</v>
      </c>
      <c r="O21" t="s">
        <v>20</v>
      </c>
      <c r="P21">
        <v>23785.68</v>
      </c>
      <c r="Q21">
        <v>23768</v>
      </c>
      <c r="R21">
        <v>23751</v>
      </c>
      <c r="S21">
        <v>23780</v>
      </c>
      <c r="T21">
        <v>23745.5</v>
      </c>
      <c r="U21">
        <f t="shared" si="0"/>
        <v>17</v>
      </c>
      <c r="V21" s="1">
        <v>45741.451388888891</v>
      </c>
      <c r="W21">
        <v>-6.75</v>
      </c>
      <c r="X21">
        <v>2430600</v>
      </c>
      <c r="Y21">
        <v>180</v>
      </c>
      <c r="Z21">
        <v>266025</v>
      </c>
      <c r="AA21">
        <v>291975</v>
      </c>
      <c r="AB21">
        <v>-6.25</v>
      </c>
      <c r="AC21">
        <v>-6.1999999999999797</v>
      </c>
      <c r="AD21">
        <v>-25950</v>
      </c>
      <c r="AE21">
        <v>-85.300000000002896</v>
      </c>
      <c r="AF21">
        <v>39825</v>
      </c>
      <c r="AG21">
        <v>97050</v>
      </c>
      <c r="AH21" t="s">
        <v>21</v>
      </c>
      <c r="AI21">
        <v>60975</v>
      </c>
      <c r="AJ21" t="s">
        <v>20</v>
      </c>
      <c r="AK21">
        <v>112.5</v>
      </c>
      <c r="AL21">
        <v>105.75</v>
      </c>
      <c r="AM21">
        <v>117</v>
      </c>
      <c r="AN21">
        <v>103.7</v>
      </c>
      <c r="AO21">
        <v>136.71</v>
      </c>
      <c r="AP21" s="1">
        <v>45741.451388888891</v>
      </c>
      <c r="AQ21">
        <v>14.15</v>
      </c>
      <c r="AR21">
        <v>2521950</v>
      </c>
      <c r="AS21">
        <v>180</v>
      </c>
      <c r="AT21">
        <v>218100</v>
      </c>
      <c r="AU21">
        <v>208200</v>
      </c>
      <c r="AV21">
        <v>13</v>
      </c>
      <c r="AW21">
        <v>13.0999999999999</v>
      </c>
      <c r="AX21">
        <v>9900</v>
      </c>
      <c r="AY21">
        <v>-115.550000000002</v>
      </c>
      <c r="AZ21">
        <v>39300</v>
      </c>
      <c r="BA21">
        <v>5775</v>
      </c>
      <c r="BB21" t="s">
        <v>20</v>
      </c>
      <c r="BC21">
        <v>30375</v>
      </c>
      <c r="BD21" t="s">
        <v>20</v>
      </c>
      <c r="BE21">
        <v>139.65</v>
      </c>
      <c r="BF21">
        <v>153.80000000000001</v>
      </c>
      <c r="BG21">
        <v>154.65</v>
      </c>
      <c r="BH21">
        <v>134.9</v>
      </c>
      <c r="BI21">
        <v>134.53</v>
      </c>
      <c r="BJ21" s="1">
        <v>45741.451388888891</v>
      </c>
      <c r="BK21">
        <v>1742880000</v>
      </c>
      <c r="BL21">
        <f t="shared" si="1"/>
        <v>7.0000000000000284E-2</v>
      </c>
      <c r="BM21">
        <f t="shared" si="2"/>
        <v>9.176136363636149E-2</v>
      </c>
      <c r="BN21" s="3">
        <f t="shared" si="3"/>
        <v>-1</v>
      </c>
      <c r="BO21">
        <v>14.29</v>
      </c>
      <c r="BP21">
        <v>14.36</v>
      </c>
      <c r="BQ21">
        <v>14.27</v>
      </c>
      <c r="BR21">
        <v>14.36</v>
      </c>
      <c r="BS21">
        <v>0</v>
      </c>
    </row>
    <row r="22" spans="1:71" x14ac:dyDescent="0.25">
      <c r="A22" s="1">
        <v>45741.454861111109</v>
      </c>
      <c r="B22">
        <v>-13.75</v>
      </c>
      <c r="C22">
        <v>327525</v>
      </c>
      <c r="D22">
        <v>176</v>
      </c>
      <c r="E22">
        <v>145650</v>
      </c>
      <c r="F22">
        <v>82200</v>
      </c>
      <c r="G22">
        <v>-14</v>
      </c>
      <c r="H22">
        <v>-12.5</v>
      </c>
      <c r="I22">
        <v>63450</v>
      </c>
      <c r="J22">
        <v>-1355.84999999962</v>
      </c>
      <c r="K22">
        <v>36750</v>
      </c>
      <c r="L22">
        <v>-67875</v>
      </c>
      <c r="M22" t="s">
        <v>22</v>
      </c>
      <c r="N22">
        <v>123150</v>
      </c>
      <c r="O22" t="s">
        <v>22</v>
      </c>
      <c r="P22">
        <v>23779.94</v>
      </c>
      <c r="Q22">
        <v>23745.200000000001</v>
      </c>
      <c r="R22">
        <v>23731.45</v>
      </c>
      <c r="S22">
        <v>23750.6</v>
      </c>
      <c r="T22">
        <v>23680.1</v>
      </c>
      <c r="U22">
        <f t="shared" si="0"/>
        <v>13.75</v>
      </c>
      <c r="V22" s="1">
        <v>45741.454861111109</v>
      </c>
      <c r="W22">
        <v>-6.3499999999999899</v>
      </c>
      <c r="X22">
        <v>6299325</v>
      </c>
      <c r="Y22">
        <v>180</v>
      </c>
      <c r="Z22">
        <v>308925</v>
      </c>
      <c r="AA22">
        <v>359175</v>
      </c>
      <c r="AB22">
        <v>-5.3499999999999899</v>
      </c>
      <c r="AC22">
        <v>-5.35</v>
      </c>
      <c r="AD22">
        <v>-50250</v>
      </c>
      <c r="AE22">
        <v>-76.599999999998502</v>
      </c>
      <c r="AF22">
        <v>46725</v>
      </c>
      <c r="AG22">
        <v>-165750</v>
      </c>
      <c r="AH22" t="s">
        <v>22</v>
      </c>
      <c r="AI22">
        <v>-97575</v>
      </c>
      <c r="AJ22" t="s">
        <v>21</v>
      </c>
      <c r="AK22">
        <v>105.85</v>
      </c>
      <c r="AL22">
        <v>99.5</v>
      </c>
      <c r="AM22">
        <v>106.45</v>
      </c>
      <c r="AN22">
        <v>78.2</v>
      </c>
      <c r="AO22">
        <v>134.22</v>
      </c>
      <c r="AP22" s="1">
        <v>45741.454861111109</v>
      </c>
      <c r="AQ22">
        <v>9.7000000000000099</v>
      </c>
      <c r="AR22">
        <v>5204775</v>
      </c>
      <c r="AS22">
        <v>180</v>
      </c>
      <c r="AT22">
        <v>165825</v>
      </c>
      <c r="AU22">
        <v>143550</v>
      </c>
      <c r="AV22">
        <v>8.4</v>
      </c>
      <c r="AW22">
        <v>8.4500000000000099</v>
      </c>
      <c r="AX22">
        <v>22275</v>
      </c>
      <c r="AY22">
        <v>-144.850000000005</v>
      </c>
      <c r="AZ22">
        <v>38250</v>
      </c>
      <c r="BA22">
        <v>-61650</v>
      </c>
      <c r="BB22" t="s">
        <v>21</v>
      </c>
      <c r="BC22">
        <v>-287400</v>
      </c>
      <c r="BD22" t="s">
        <v>22</v>
      </c>
      <c r="BE22">
        <v>153.85</v>
      </c>
      <c r="BF22">
        <v>163.55000000000001</v>
      </c>
      <c r="BG22">
        <v>197.55</v>
      </c>
      <c r="BH22">
        <v>152.6</v>
      </c>
      <c r="BI22">
        <v>137.13999999999999</v>
      </c>
      <c r="BJ22" s="1">
        <v>45741.454861111109</v>
      </c>
      <c r="BK22">
        <v>1742880300</v>
      </c>
      <c r="BL22">
        <f t="shared" si="1"/>
        <v>9.9999999999997868E-3</v>
      </c>
      <c r="BM22">
        <f t="shared" si="2"/>
        <v>7.4218749999998265E-2</v>
      </c>
      <c r="BN22" s="3">
        <f t="shared" si="3"/>
        <v>-1</v>
      </c>
      <c r="BO22">
        <v>14.36</v>
      </c>
      <c r="BP22">
        <v>14.48</v>
      </c>
      <c r="BQ22">
        <v>14.3</v>
      </c>
      <c r="BR22">
        <v>14.37</v>
      </c>
      <c r="BS22">
        <v>0</v>
      </c>
    </row>
    <row r="23" spans="1:71" s="3" customFormat="1" x14ac:dyDescent="0.25">
      <c r="A23" s="2">
        <v>45741.458333333336</v>
      </c>
      <c r="B23" s="3">
        <v>1.79999999999927</v>
      </c>
      <c r="C23">
        <v>83475</v>
      </c>
      <c r="D23">
        <v>155</v>
      </c>
      <c r="E23">
        <v>180000</v>
      </c>
      <c r="F23">
        <v>51075</v>
      </c>
      <c r="G23">
        <v>-0.25</v>
      </c>
      <c r="H23">
        <v>-1.0999999999985399</v>
      </c>
      <c r="I23">
        <v>128925</v>
      </c>
      <c r="J23">
        <v>-1184.84999999869</v>
      </c>
      <c r="K23">
        <v>34050</v>
      </c>
      <c r="L23">
        <v>21825</v>
      </c>
      <c r="M23" t="s">
        <v>21</v>
      </c>
      <c r="N23">
        <v>18150</v>
      </c>
      <c r="O23" t="s">
        <v>20</v>
      </c>
      <c r="P23">
        <v>23778.880000000001</v>
      </c>
      <c r="Q23">
        <v>23731.4</v>
      </c>
      <c r="R23">
        <v>23733.200000000001</v>
      </c>
      <c r="S23" s="3">
        <v>23735.25</v>
      </c>
      <c r="T23" s="3">
        <v>23706.1</v>
      </c>
      <c r="U23" s="3">
        <f t="shared" si="0"/>
        <v>1.7999999999992724</v>
      </c>
      <c r="V23" s="1">
        <v>45741.458333333336</v>
      </c>
      <c r="W23">
        <v>-0.95000000000000195</v>
      </c>
      <c r="X23">
        <v>2966025</v>
      </c>
      <c r="Y23">
        <v>180</v>
      </c>
      <c r="Z23">
        <v>322800</v>
      </c>
      <c r="AA23">
        <v>319950</v>
      </c>
      <c r="AB23">
        <v>-2.05000000000001</v>
      </c>
      <c r="AC23">
        <v>-2.0499999999999901</v>
      </c>
      <c r="AD23">
        <v>2850</v>
      </c>
      <c r="AE23">
        <v>-81.5</v>
      </c>
      <c r="AF23">
        <v>45075</v>
      </c>
      <c r="AG23">
        <v>106500</v>
      </c>
      <c r="AH23" t="s">
        <v>21</v>
      </c>
      <c r="AI23">
        <v>94950</v>
      </c>
      <c r="AJ23" t="s">
        <v>22</v>
      </c>
      <c r="AK23">
        <v>98</v>
      </c>
      <c r="AL23">
        <v>97.05</v>
      </c>
      <c r="AM23">
        <v>100.45</v>
      </c>
      <c r="AN23">
        <v>87.85</v>
      </c>
      <c r="AO23">
        <v>133.22</v>
      </c>
      <c r="AP23" s="1">
        <v>45741.458333333336</v>
      </c>
      <c r="AQ23">
        <v>-6.0999999999999899</v>
      </c>
      <c r="AR23">
        <v>2013975</v>
      </c>
      <c r="AS23">
        <v>180</v>
      </c>
      <c r="AT23">
        <v>119175</v>
      </c>
      <c r="AU23">
        <v>157050</v>
      </c>
      <c r="AV23">
        <v>-4.3500000000000201</v>
      </c>
      <c r="AW23">
        <v>-4.25</v>
      </c>
      <c r="AX23">
        <v>-37875</v>
      </c>
      <c r="AY23">
        <v>-138.95000000001099</v>
      </c>
      <c r="AZ23">
        <v>40050</v>
      </c>
      <c r="BA23">
        <v>-24000</v>
      </c>
      <c r="BB23" t="s">
        <v>22</v>
      </c>
      <c r="BC23">
        <v>73950</v>
      </c>
      <c r="BD23" t="s">
        <v>21</v>
      </c>
      <c r="BE23">
        <v>165.2</v>
      </c>
      <c r="BF23">
        <v>159.1</v>
      </c>
      <c r="BG23">
        <v>183.5</v>
      </c>
      <c r="BH23">
        <v>159.1</v>
      </c>
      <c r="BI23">
        <v>137.93</v>
      </c>
      <c r="BJ23" s="1">
        <v>45741.458333333336</v>
      </c>
      <c r="BK23">
        <v>1742880600</v>
      </c>
      <c r="BL23" s="3">
        <f t="shared" si="1"/>
        <v>4.9999999999998934E-2</v>
      </c>
      <c r="BM23" s="3">
        <f t="shared" si="2"/>
        <v>9.7159090909049364E-3</v>
      </c>
      <c r="BN23" s="3">
        <f t="shared" si="3"/>
        <v>1</v>
      </c>
      <c r="BO23" s="3">
        <v>14.36</v>
      </c>
      <c r="BP23" s="3">
        <v>14.43</v>
      </c>
      <c r="BQ23" s="3">
        <v>14.31</v>
      </c>
      <c r="BR23" s="3">
        <v>14.31</v>
      </c>
      <c r="BS23" s="3">
        <v>0</v>
      </c>
    </row>
    <row r="24" spans="1:71" x14ac:dyDescent="0.25">
      <c r="A24" s="1">
        <v>45741.461805555555</v>
      </c>
      <c r="B24">
        <v>-19.450000000000699</v>
      </c>
      <c r="C24">
        <v>91650</v>
      </c>
      <c r="D24">
        <v>153</v>
      </c>
      <c r="E24">
        <v>104925</v>
      </c>
      <c r="F24">
        <v>77400</v>
      </c>
      <c r="G24">
        <v>-18.549999999999201</v>
      </c>
      <c r="H24">
        <v>-21.25</v>
      </c>
      <c r="I24">
        <v>27525</v>
      </c>
      <c r="J24">
        <v>-885.50000000093098</v>
      </c>
      <c r="K24">
        <v>30975</v>
      </c>
      <c r="L24">
        <v>-11400</v>
      </c>
      <c r="M24" t="s">
        <v>22</v>
      </c>
      <c r="N24">
        <v>-26700</v>
      </c>
      <c r="O24" t="s">
        <v>21</v>
      </c>
      <c r="P24">
        <v>23778.14</v>
      </c>
      <c r="Q24">
        <v>23733.200000000001</v>
      </c>
      <c r="R24">
        <v>23713.75</v>
      </c>
      <c r="S24">
        <v>23759.75</v>
      </c>
      <c r="T24">
        <v>23711.1</v>
      </c>
      <c r="U24">
        <f t="shared" si="0"/>
        <v>19.450000000000728</v>
      </c>
      <c r="V24" s="1">
        <v>45741.461805555555</v>
      </c>
      <c r="W24">
        <v>-8.9</v>
      </c>
      <c r="X24">
        <v>4054650</v>
      </c>
      <c r="Y24">
        <v>179</v>
      </c>
      <c r="Z24">
        <v>366000</v>
      </c>
      <c r="AA24">
        <v>323775</v>
      </c>
      <c r="AB24">
        <v>-9.65</v>
      </c>
      <c r="AC24">
        <v>-9.65</v>
      </c>
      <c r="AD24">
        <v>42225</v>
      </c>
      <c r="AE24">
        <v>-87.050000000002896</v>
      </c>
      <c r="AF24">
        <v>50175</v>
      </c>
      <c r="AG24">
        <v>-111225</v>
      </c>
      <c r="AH24" t="s">
        <v>22</v>
      </c>
      <c r="AI24">
        <v>59400</v>
      </c>
      <c r="AJ24" t="s">
        <v>20</v>
      </c>
      <c r="AK24">
        <v>96.7</v>
      </c>
      <c r="AL24">
        <v>87.8</v>
      </c>
      <c r="AM24">
        <v>107.7</v>
      </c>
      <c r="AN24">
        <v>87.05</v>
      </c>
      <c r="AO24">
        <v>132.11000000000001</v>
      </c>
      <c r="AP24" s="1">
        <v>45741.461805555555</v>
      </c>
      <c r="AQ24">
        <v>13.9</v>
      </c>
      <c r="AR24">
        <v>2031450</v>
      </c>
      <c r="AS24">
        <v>179</v>
      </c>
      <c r="AT24">
        <v>149400</v>
      </c>
      <c r="AU24">
        <v>177675</v>
      </c>
      <c r="AV24">
        <v>14.8499999999999</v>
      </c>
      <c r="AW24">
        <v>14.9499999999999</v>
      </c>
      <c r="AX24">
        <v>-28275</v>
      </c>
      <c r="AY24">
        <v>-121.89999999999399</v>
      </c>
      <c r="AZ24">
        <v>36150</v>
      </c>
      <c r="BA24">
        <v>46200</v>
      </c>
      <c r="BB24" t="s">
        <v>22</v>
      </c>
      <c r="BC24">
        <v>-41175</v>
      </c>
      <c r="BD24" t="s">
        <v>22</v>
      </c>
      <c r="BE24">
        <v>160.15</v>
      </c>
      <c r="BF24">
        <v>174.05</v>
      </c>
      <c r="BG24">
        <v>175.7</v>
      </c>
      <c r="BH24">
        <v>145.6</v>
      </c>
      <c r="BI24">
        <v>138.38</v>
      </c>
      <c r="BJ24" s="1">
        <v>45741.461805555555</v>
      </c>
      <c r="BK24">
        <v>1742880900</v>
      </c>
      <c r="BL24">
        <f t="shared" si="1"/>
        <v>3.0000000000001137E-2</v>
      </c>
      <c r="BM24">
        <f t="shared" si="2"/>
        <v>0.10498579545454692</v>
      </c>
      <c r="BN24" s="3">
        <f t="shared" si="3"/>
        <v>-1</v>
      </c>
      <c r="BO24">
        <v>14.29</v>
      </c>
      <c r="BP24">
        <v>14.36</v>
      </c>
      <c r="BQ24">
        <v>14.26</v>
      </c>
      <c r="BR24">
        <v>14.32</v>
      </c>
      <c r="BS24">
        <v>0</v>
      </c>
    </row>
    <row r="25" spans="1:71" x14ac:dyDescent="0.25">
      <c r="A25" s="1">
        <v>45741.465277777781</v>
      </c>
      <c r="B25">
        <v>20.799999999999201</v>
      </c>
      <c r="C25">
        <v>48675</v>
      </c>
      <c r="D25">
        <v>130</v>
      </c>
      <c r="E25">
        <v>79350</v>
      </c>
      <c r="F25">
        <v>58650</v>
      </c>
      <c r="G25">
        <v>29.700000000000699</v>
      </c>
      <c r="H25">
        <v>27.150000000001398</v>
      </c>
      <c r="I25">
        <v>20700</v>
      </c>
      <c r="J25">
        <v>-766.29999999981305</v>
      </c>
      <c r="K25">
        <v>24450</v>
      </c>
      <c r="L25">
        <v>28800</v>
      </c>
      <c r="M25" t="s">
        <v>21</v>
      </c>
      <c r="N25">
        <v>-12375</v>
      </c>
      <c r="O25" t="s">
        <v>20</v>
      </c>
      <c r="P25">
        <v>23777.65</v>
      </c>
      <c r="Q25">
        <v>23713.75</v>
      </c>
      <c r="R25">
        <v>23734.55</v>
      </c>
      <c r="S25">
        <v>23745.15</v>
      </c>
      <c r="T25">
        <v>23711.15</v>
      </c>
      <c r="U25">
        <f t="shared" si="0"/>
        <v>20.799999999999272</v>
      </c>
      <c r="V25" s="1">
        <v>45741.465277777781</v>
      </c>
      <c r="W25">
        <v>9.5999999999999908</v>
      </c>
      <c r="X25">
        <v>2193825</v>
      </c>
      <c r="Y25">
        <v>180</v>
      </c>
      <c r="Z25">
        <v>296700</v>
      </c>
      <c r="AA25">
        <v>323700</v>
      </c>
      <c r="AB25">
        <v>9.2999999999999901</v>
      </c>
      <c r="AC25">
        <v>9.2999999999999901</v>
      </c>
      <c r="AD25">
        <v>-27000</v>
      </c>
      <c r="AE25">
        <v>-79.549999999995606</v>
      </c>
      <c r="AF25">
        <v>42675</v>
      </c>
      <c r="AG25">
        <v>117150</v>
      </c>
      <c r="AH25" t="s">
        <v>21</v>
      </c>
      <c r="AI25">
        <v>49500</v>
      </c>
      <c r="AJ25" t="s">
        <v>20</v>
      </c>
      <c r="AK25">
        <v>87.9</v>
      </c>
      <c r="AL25">
        <v>97.5</v>
      </c>
      <c r="AM25">
        <v>100.2</v>
      </c>
      <c r="AN25">
        <v>87.85</v>
      </c>
      <c r="AO25">
        <v>131.46</v>
      </c>
      <c r="AP25" s="1">
        <v>45741.465277777781</v>
      </c>
      <c r="AQ25">
        <v>-17.399999999999999</v>
      </c>
      <c r="AR25">
        <v>1419975</v>
      </c>
      <c r="AS25">
        <v>180</v>
      </c>
      <c r="AT25">
        <v>165075</v>
      </c>
      <c r="AU25">
        <v>133500</v>
      </c>
      <c r="AV25">
        <v>-16.549999999999901</v>
      </c>
      <c r="AW25">
        <v>-16.55</v>
      </c>
      <c r="AX25">
        <v>31575</v>
      </c>
      <c r="AY25">
        <v>-133.099999999998</v>
      </c>
      <c r="AZ25">
        <v>44850</v>
      </c>
      <c r="BA25">
        <v>-23775</v>
      </c>
      <c r="BB25" t="s">
        <v>21</v>
      </c>
      <c r="BC25">
        <v>70575</v>
      </c>
      <c r="BD25" t="s">
        <v>21</v>
      </c>
      <c r="BE25">
        <v>173.75</v>
      </c>
      <c r="BF25">
        <v>156.35</v>
      </c>
      <c r="BG25">
        <v>174.75</v>
      </c>
      <c r="BH25">
        <v>153.6</v>
      </c>
      <c r="BI25">
        <v>138.77000000000001</v>
      </c>
      <c r="BJ25" s="1">
        <v>45741.465277777781</v>
      </c>
      <c r="BK25">
        <v>1742881200</v>
      </c>
      <c r="BL25">
        <f t="shared" si="1"/>
        <v>9.9999999999999645E-2</v>
      </c>
      <c r="BM25">
        <f t="shared" si="2"/>
        <v>0.11227272727272072</v>
      </c>
      <c r="BN25" s="3">
        <f t="shared" si="3"/>
        <v>-1</v>
      </c>
      <c r="BO25">
        <v>14.35</v>
      </c>
      <c r="BP25">
        <v>14.36</v>
      </c>
      <c r="BQ25">
        <v>14.24</v>
      </c>
      <c r="BR25">
        <v>14.25</v>
      </c>
      <c r="BS25">
        <v>0</v>
      </c>
    </row>
    <row r="26" spans="1:71" x14ac:dyDescent="0.25">
      <c r="A26" s="1">
        <v>45741.46875</v>
      </c>
      <c r="B26">
        <v>10.450000000000699</v>
      </c>
      <c r="C26">
        <v>66750</v>
      </c>
      <c r="D26">
        <v>158</v>
      </c>
      <c r="E26">
        <v>134850</v>
      </c>
      <c r="F26">
        <v>70425</v>
      </c>
      <c r="G26">
        <v>9.5499999999992706</v>
      </c>
      <c r="H26">
        <v>5.6499999999978101</v>
      </c>
      <c r="I26">
        <v>64425</v>
      </c>
      <c r="J26">
        <v>-869.65000000130306</v>
      </c>
      <c r="K26">
        <v>29625</v>
      </c>
      <c r="L26">
        <v>6675</v>
      </c>
      <c r="M26" t="s">
        <v>20</v>
      </c>
      <c r="N26">
        <v>16500</v>
      </c>
      <c r="O26" t="s">
        <v>22</v>
      </c>
      <c r="P26">
        <v>23777.119999999999</v>
      </c>
      <c r="Q26">
        <v>23734.55</v>
      </c>
      <c r="R26">
        <v>23745</v>
      </c>
      <c r="S26">
        <v>23757.95</v>
      </c>
      <c r="T26">
        <v>23722.2</v>
      </c>
      <c r="U26">
        <f t="shared" si="0"/>
        <v>10.450000000000728</v>
      </c>
      <c r="V26" s="1">
        <v>45741.46875</v>
      </c>
      <c r="W26">
        <v>2.1999999999999802</v>
      </c>
      <c r="X26">
        <v>2693925</v>
      </c>
      <c r="Y26">
        <v>179</v>
      </c>
      <c r="Z26">
        <v>303750</v>
      </c>
      <c r="AA26">
        <v>310950</v>
      </c>
      <c r="AB26">
        <v>2.15</v>
      </c>
      <c r="AC26">
        <v>2.1</v>
      </c>
      <c r="AD26">
        <v>-7200</v>
      </c>
      <c r="AE26">
        <v>-75.799999999995606</v>
      </c>
      <c r="AF26">
        <v>41025</v>
      </c>
      <c r="AG26">
        <v>21375</v>
      </c>
      <c r="AH26" t="s">
        <v>20</v>
      </c>
      <c r="AI26">
        <v>4800</v>
      </c>
      <c r="AJ26" t="s">
        <v>20</v>
      </c>
      <c r="AK26">
        <v>97.4</v>
      </c>
      <c r="AL26">
        <v>99.6</v>
      </c>
      <c r="AM26">
        <v>104.5</v>
      </c>
      <c r="AN26">
        <v>90.3</v>
      </c>
      <c r="AO26">
        <v>130.76</v>
      </c>
      <c r="AP26" s="1">
        <v>45741.46875</v>
      </c>
      <c r="AQ26">
        <v>-6.8499999999999899</v>
      </c>
      <c r="AR26">
        <v>1461975</v>
      </c>
      <c r="AS26">
        <v>179</v>
      </c>
      <c r="AT26">
        <v>171150</v>
      </c>
      <c r="AU26">
        <v>153075</v>
      </c>
      <c r="AV26">
        <v>-7.1999999999999797</v>
      </c>
      <c r="AW26">
        <v>-7.0999999999999899</v>
      </c>
      <c r="AX26">
        <v>18075</v>
      </c>
      <c r="AY26">
        <v>-121.39999999999399</v>
      </c>
      <c r="AZ26">
        <v>39975</v>
      </c>
      <c r="BA26">
        <v>-15675</v>
      </c>
      <c r="BB26" t="s">
        <v>20</v>
      </c>
      <c r="BC26">
        <v>31875</v>
      </c>
      <c r="BD26" t="s">
        <v>20</v>
      </c>
      <c r="BE26">
        <v>155.9</v>
      </c>
      <c r="BF26">
        <v>149.05000000000001</v>
      </c>
      <c r="BG26">
        <v>166.25</v>
      </c>
      <c r="BH26">
        <v>143.5</v>
      </c>
      <c r="BI26">
        <v>139.02000000000001</v>
      </c>
      <c r="BJ26" s="1">
        <v>45741.46875</v>
      </c>
      <c r="BK26">
        <v>1742881500</v>
      </c>
      <c r="BL26">
        <f t="shared" si="1"/>
        <v>4.9999999999998934E-2</v>
      </c>
      <c r="BM26">
        <f t="shared" si="2"/>
        <v>5.6406250000002614E-2</v>
      </c>
      <c r="BN26" s="3">
        <f t="shared" si="3"/>
        <v>-1</v>
      </c>
      <c r="BO26">
        <v>14.27</v>
      </c>
      <c r="BP26">
        <v>14.32</v>
      </c>
      <c r="BQ26">
        <v>14.18</v>
      </c>
      <c r="BR26">
        <v>14.22</v>
      </c>
      <c r="BS26">
        <v>0</v>
      </c>
    </row>
    <row r="27" spans="1:71" x14ac:dyDescent="0.25">
      <c r="A27" s="1">
        <v>45741.472222222219</v>
      </c>
      <c r="B27">
        <v>-42.599999999998502</v>
      </c>
      <c r="C27">
        <v>68175</v>
      </c>
      <c r="D27">
        <v>157</v>
      </c>
      <c r="E27">
        <v>111750</v>
      </c>
      <c r="F27">
        <v>73725</v>
      </c>
      <c r="G27">
        <v>-38.950000000000699</v>
      </c>
      <c r="H27">
        <v>-39.150000000001398</v>
      </c>
      <c r="I27">
        <v>38025</v>
      </c>
      <c r="J27">
        <v>-979.70000000018604</v>
      </c>
      <c r="K27">
        <v>27225</v>
      </c>
      <c r="L27">
        <v>1425</v>
      </c>
      <c r="M27" t="s">
        <v>22</v>
      </c>
      <c r="N27">
        <v>5700</v>
      </c>
      <c r="O27" t="s">
        <v>20</v>
      </c>
      <c r="P27">
        <v>23776.36</v>
      </c>
      <c r="Q27">
        <v>23745.599999999999</v>
      </c>
      <c r="R27">
        <v>23703</v>
      </c>
      <c r="S27">
        <v>23746</v>
      </c>
      <c r="T27">
        <v>23703</v>
      </c>
      <c r="U27">
        <f t="shared" si="0"/>
        <v>42.599999999998545</v>
      </c>
      <c r="V27" s="1">
        <v>45741.472222222219</v>
      </c>
      <c r="W27">
        <v>-16.25</v>
      </c>
      <c r="X27">
        <v>2214975</v>
      </c>
      <c r="Y27">
        <v>180</v>
      </c>
      <c r="Z27">
        <v>418275</v>
      </c>
      <c r="AA27">
        <v>347550</v>
      </c>
      <c r="AB27">
        <v>-15</v>
      </c>
      <c r="AC27">
        <v>-15.049999999999899</v>
      </c>
      <c r="AD27">
        <v>70725</v>
      </c>
      <c r="AE27">
        <v>-74.900000000001398</v>
      </c>
      <c r="AF27">
        <v>43800</v>
      </c>
      <c r="AG27">
        <v>-110925</v>
      </c>
      <c r="AH27" t="s">
        <v>22</v>
      </c>
      <c r="AI27">
        <v>121650</v>
      </c>
      <c r="AJ27" t="s">
        <v>22</v>
      </c>
      <c r="AK27">
        <v>99.75</v>
      </c>
      <c r="AL27">
        <v>83.5</v>
      </c>
      <c r="AM27">
        <v>99.75</v>
      </c>
      <c r="AN27">
        <v>83.15</v>
      </c>
      <c r="AO27">
        <v>130.07</v>
      </c>
      <c r="AP27" s="1">
        <v>45741.472222222219</v>
      </c>
      <c r="AQ27">
        <v>30.349999999999898</v>
      </c>
      <c r="AR27">
        <v>1572600</v>
      </c>
      <c r="AS27">
        <v>180</v>
      </c>
      <c r="AT27">
        <v>171375</v>
      </c>
      <c r="AU27">
        <v>157950</v>
      </c>
      <c r="AV27">
        <v>27.85</v>
      </c>
      <c r="AW27">
        <v>27.9499999999999</v>
      </c>
      <c r="AX27">
        <v>13425</v>
      </c>
      <c r="AY27">
        <v>-132.29999999999501</v>
      </c>
      <c r="AZ27">
        <v>39525</v>
      </c>
      <c r="BA27">
        <v>19950</v>
      </c>
      <c r="BB27" t="s">
        <v>22</v>
      </c>
      <c r="BC27">
        <v>-66975</v>
      </c>
      <c r="BD27" t="s">
        <v>22</v>
      </c>
      <c r="BE27">
        <v>148.9</v>
      </c>
      <c r="BF27">
        <v>179.25</v>
      </c>
      <c r="BG27">
        <v>179.25</v>
      </c>
      <c r="BH27">
        <v>148.9</v>
      </c>
      <c r="BI27">
        <v>139.49</v>
      </c>
      <c r="BJ27" s="1">
        <v>45741.472222222219</v>
      </c>
      <c r="BK27">
        <v>1742881800</v>
      </c>
      <c r="BL27">
        <f t="shared" si="1"/>
        <v>8.0000000000000071E-2</v>
      </c>
      <c r="BM27">
        <f t="shared" si="2"/>
        <v>0.22994318181816858</v>
      </c>
      <c r="BN27" s="3">
        <f t="shared" si="3"/>
        <v>-1</v>
      </c>
      <c r="BO27">
        <v>14.23</v>
      </c>
      <c r="BP27">
        <v>14.35</v>
      </c>
      <c r="BQ27">
        <v>14.19</v>
      </c>
      <c r="BR27">
        <v>14.31</v>
      </c>
      <c r="BS27">
        <v>0</v>
      </c>
    </row>
    <row r="28" spans="1:71" s="3" customFormat="1" x14ac:dyDescent="0.25">
      <c r="A28" s="2">
        <v>45741.475694444445</v>
      </c>
      <c r="B28" s="3">
        <v>-5.7999999999992697</v>
      </c>
      <c r="C28">
        <v>93750</v>
      </c>
      <c r="D28">
        <v>161</v>
      </c>
      <c r="E28">
        <v>93300</v>
      </c>
      <c r="F28">
        <v>84675</v>
      </c>
      <c r="G28">
        <v>-3.45000000000072</v>
      </c>
      <c r="H28">
        <v>-1.9000000000014501</v>
      </c>
      <c r="I28">
        <v>8625</v>
      </c>
      <c r="J28">
        <v>-865.30000000074494</v>
      </c>
      <c r="K28">
        <v>33075</v>
      </c>
      <c r="L28">
        <v>-2475</v>
      </c>
      <c r="M28" t="s">
        <v>22</v>
      </c>
      <c r="N28">
        <v>-29775</v>
      </c>
      <c r="O28" t="s">
        <v>21</v>
      </c>
      <c r="P28">
        <v>23774.84</v>
      </c>
      <c r="Q28">
        <v>23703</v>
      </c>
      <c r="R28">
        <v>23697.200000000001</v>
      </c>
      <c r="S28" s="3">
        <v>23716.95</v>
      </c>
      <c r="T28" s="3">
        <v>23681</v>
      </c>
      <c r="U28" s="3">
        <f t="shared" si="0"/>
        <v>5.7999999999992724</v>
      </c>
      <c r="V28" s="1">
        <v>45741.475694444445</v>
      </c>
      <c r="W28">
        <v>-4.95</v>
      </c>
      <c r="X28">
        <v>3264075</v>
      </c>
      <c r="Y28">
        <v>180</v>
      </c>
      <c r="Z28">
        <v>399075</v>
      </c>
      <c r="AA28">
        <v>349050</v>
      </c>
      <c r="AB28">
        <v>-4.8999999999999897</v>
      </c>
      <c r="AC28">
        <v>-4.9000000000000004</v>
      </c>
      <c r="AD28">
        <v>50025</v>
      </c>
      <c r="AE28">
        <v>-68.400000000001398</v>
      </c>
      <c r="AF28">
        <v>41175</v>
      </c>
      <c r="AG28">
        <v>-5025</v>
      </c>
      <c r="AH28" t="s">
        <v>21</v>
      </c>
      <c r="AI28">
        <v>6900</v>
      </c>
      <c r="AJ28" t="s">
        <v>20</v>
      </c>
      <c r="AK28">
        <v>83.9</v>
      </c>
      <c r="AL28">
        <v>78.95</v>
      </c>
      <c r="AM28">
        <v>87.5</v>
      </c>
      <c r="AN28">
        <v>72.349999999999994</v>
      </c>
      <c r="AO28">
        <v>128.84</v>
      </c>
      <c r="AP28" s="1">
        <v>45741.475694444445</v>
      </c>
      <c r="AQ28">
        <v>-2.7999999999999798</v>
      </c>
      <c r="AR28">
        <v>2082075</v>
      </c>
      <c r="AS28">
        <v>180</v>
      </c>
      <c r="AT28">
        <v>174300</v>
      </c>
      <c r="AU28">
        <v>190425</v>
      </c>
      <c r="AV28">
        <v>-3</v>
      </c>
      <c r="AW28">
        <v>-2.9499999999999802</v>
      </c>
      <c r="AX28">
        <v>-16125</v>
      </c>
      <c r="AY28">
        <v>-148.79999999998799</v>
      </c>
      <c r="AZ28">
        <v>42375</v>
      </c>
      <c r="BA28">
        <v>-20775</v>
      </c>
      <c r="BB28" t="s">
        <v>21</v>
      </c>
      <c r="BC28">
        <v>6825</v>
      </c>
      <c r="BD28" t="s">
        <v>21</v>
      </c>
      <c r="BE28">
        <v>178.7</v>
      </c>
      <c r="BF28">
        <v>175.9</v>
      </c>
      <c r="BG28">
        <v>188.6</v>
      </c>
      <c r="BH28">
        <v>169.45</v>
      </c>
      <c r="BI28">
        <v>140.36000000000001</v>
      </c>
      <c r="BJ28" s="1">
        <v>45741.475694444445</v>
      </c>
      <c r="BK28">
        <v>1742882100</v>
      </c>
      <c r="BL28" s="3">
        <f t="shared" si="1"/>
        <v>0.16000000000000014</v>
      </c>
      <c r="BM28" s="3">
        <f t="shared" si="2"/>
        <v>3.1306818181813523E-2</v>
      </c>
      <c r="BN28" s="3">
        <f t="shared" si="3"/>
        <v>1</v>
      </c>
      <c r="BO28" s="3">
        <v>14.32</v>
      </c>
      <c r="BP28" s="3">
        <v>14.32</v>
      </c>
      <c r="BQ28" s="3">
        <v>14.15</v>
      </c>
      <c r="BR28" s="3">
        <v>14.16</v>
      </c>
      <c r="BS28" s="3">
        <v>0</v>
      </c>
    </row>
    <row r="29" spans="1:71" x14ac:dyDescent="0.25">
      <c r="A29" s="1">
        <v>45741.479166666664</v>
      </c>
      <c r="B29">
        <v>22.799999999999201</v>
      </c>
      <c r="C29">
        <v>67050</v>
      </c>
      <c r="D29">
        <v>144</v>
      </c>
      <c r="E29">
        <v>174900</v>
      </c>
      <c r="F29">
        <v>72975</v>
      </c>
      <c r="G29">
        <v>19.149999999997799</v>
      </c>
      <c r="H29">
        <v>18.099999999998499</v>
      </c>
      <c r="I29">
        <v>101925</v>
      </c>
      <c r="J29">
        <v>-684.54999999981305</v>
      </c>
      <c r="K29">
        <v>35775</v>
      </c>
      <c r="L29">
        <v>-525</v>
      </c>
      <c r="M29" t="s">
        <v>20</v>
      </c>
      <c r="N29">
        <v>29250</v>
      </c>
      <c r="O29" t="s">
        <v>22</v>
      </c>
      <c r="P29">
        <v>23773.96</v>
      </c>
      <c r="Q29">
        <v>23697.200000000001</v>
      </c>
      <c r="R29">
        <v>23720</v>
      </c>
      <c r="S29">
        <v>23725</v>
      </c>
      <c r="T29">
        <v>23697.200000000001</v>
      </c>
      <c r="U29">
        <f t="shared" si="0"/>
        <v>22.799999999999272</v>
      </c>
      <c r="V29" s="1">
        <v>45741.479166666664</v>
      </c>
      <c r="W29">
        <v>7.8999999999999897</v>
      </c>
      <c r="X29">
        <v>2754900</v>
      </c>
      <c r="Y29">
        <v>179</v>
      </c>
      <c r="Z29">
        <v>285675</v>
      </c>
      <c r="AA29">
        <v>352575</v>
      </c>
      <c r="AB29">
        <v>8.25</v>
      </c>
      <c r="AC29">
        <v>8.25</v>
      </c>
      <c r="AD29">
        <v>-66900</v>
      </c>
      <c r="AE29">
        <v>-70.550000000010101</v>
      </c>
      <c r="AF29">
        <v>42375</v>
      </c>
      <c r="AG29">
        <v>73575</v>
      </c>
      <c r="AH29" t="s">
        <v>21</v>
      </c>
      <c r="AI29">
        <v>-25050</v>
      </c>
      <c r="AJ29" t="s">
        <v>21</v>
      </c>
      <c r="AK29">
        <v>78.400000000000006</v>
      </c>
      <c r="AL29">
        <v>86.3</v>
      </c>
      <c r="AM29">
        <v>89</v>
      </c>
      <c r="AN29">
        <v>77.3</v>
      </c>
      <c r="AO29">
        <v>127.91</v>
      </c>
      <c r="AP29" s="1">
        <v>45741.479166666664</v>
      </c>
      <c r="AQ29">
        <v>-11.75</v>
      </c>
      <c r="AR29">
        <v>1258275</v>
      </c>
      <c r="AS29">
        <v>179</v>
      </c>
      <c r="AT29">
        <v>142875</v>
      </c>
      <c r="AU29">
        <v>164025</v>
      </c>
      <c r="AV29">
        <v>-12.3499999999999</v>
      </c>
      <c r="AW29">
        <v>-12.4</v>
      </c>
      <c r="AX29">
        <v>-21150</v>
      </c>
      <c r="AY29">
        <v>-134.050000000002</v>
      </c>
      <c r="AZ29">
        <v>38625</v>
      </c>
      <c r="BA29">
        <v>-7950</v>
      </c>
      <c r="BB29" t="s">
        <v>20</v>
      </c>
      <c r="BC29">
        <v>43425</v>
      </c>
      <c r="BD29" t="s">
        <v>21</v>
      </c>
      <c r="BE29">
        <v>176.3</v>
      </c>
      <c r="BF29">
        <v>164.55</v>
      </c>
      <c r="BG29">
        <v>180.95</v>
      </c>
      <c r="BH29">
        <v>159.80000000000001</v>
      </c>
      <c r="BI29">
        <v>140.75</v>
      </c>
      <c r="BJ29" s="1">
        <v>45741.479166666664</v>
      </c>
      <c r="BK29">
        <v>1742882400</v>
      </c>
      <c r="BL29">
        <f t="shared" si="1"/>
        <v>1.9999999999999574E-2</v>
      </c>
      <c r="BM29">
        <f t="shared" si="2"/>
        <v>0.12306818181817501</v>
      </c>
      <c r="BN29" s="3">
        <f t="shared" si="3"/>
        <v>-1</v>
      </c>
      <c r="BO29">
        <v>14.15</v>
      </c>
      <c r="BP29">
        <v>14.23</v>
      </c>
      <c r="BQ29">
        <v>14.11</v>
      </c>
      <c r="BR29">
        <v>14.17</v>
      </c>
      <c r="BS29">
        <v>0</v>
      </c>
    </row>
    <row r="30" spans="1:71" x14ac:dyDescent="0.25">
      <c r="A30" s="1">
        <v>45741.482638888891</v>
      </c>
      <c r="B30">
        <v>-35.099999999998502</v>
      </c>
      <c r="C30">
        <v>58575</v>
      </c>
      <c r="D30">
        <v>145</v>
      </c>
      <c r="E30">
        <v>152325</v>
      </c>
      <c r="F30">
        <v>56775</v>
      </c>
      <c r="G30">
        <v>-34</v>
      </c>
      <c r="H30">
        <v>-37.75</v>
      </c>
      <c r="I30">
        <v>95550</v>
      </c>
      <c r="J30">
        <v>-754.600000000558</v>
      </c>
      <c r="K30">
        <v>30375</v>
      </c>
      <c r="L30">
        <v>-10425</v>
      </c>
      <c r="M30" t="s">
        <v>22</v>
      </c>
      <c r="N30">
        <v>-3600</v>
      </c>
      <c r="O30" t="s">
        <v>21</v>
      </c>
      <c r="P30">
        <v>23773.1</v>
      </c>
      <c r="Q30">
        <v>23716.1</v>
      </c>
      <c r="R30">
        <v>23681</v>
      </c>
      <c r="S30">
        <v>23722</v>
      </c>
      <c r="T30">
        <v>23681</v>
      </c>
      <c r="U30">
        <f t="shared" si="0"/>
        <v>35.099999999998545</v>
      </c>
      <c r="V30" s="1">
        <v>45741.482638888891</v>
      </c>
      <c r="W30">
        <v>-14.3499999999999</v>
      </c>
      <c r="X30">
        <v>2072925</v>
      </c>
      <c r="Y30">
        <v>180</v>
      </c>
      <c r="Z30">
        <v>320250</v>
      </c>
      <c r="AA30">
        <v>310275</v>
      </c>
      <c r="AB30">
        <v>-14.399999999999901</v>
      </c>
      <c r="AC30">
        <v>-14.3499999999999</v>
      </c>
      <c r="AD30">
        <v>9975</v>
      </c>
      <c r="AE30">
        <v>-66.249999999996305</v>
      </c>
      <c r="AF30">
        <v>39825</v>
      </c>
      <c r="AG30">
        <v>-94125</v>
      </c>
      <c r="AH30" t="s">
        <v>22</v>
      </c>
      <c r="AI30">
        <v>115350</v>
      </c>
      <c r="AJ30" t="s">
        <v>22</v>
      </c>
      <c r="AK30">
        <v>85.5</v>
      </c>
      <c r="AL30">
        <v>71.150000000000006</v>
      </c>
      <c r="AM30">
        <v>88.15</v>
      </c>
      <c r="AN30">
        <v>71</v>
      </c>
      <c r="AO30">
        <v>127.19</v>
      </c>
      <c r="AP30" s="1">
        <v>45741.482638888891</v>
      </c>
      <c r="AQ30">
        <v>24.95</v>
      </c>
      <c r="AR30">
        <v>1354650</v>
      </c>
      <c r="AS30">
        <v>180</v>
      </c>
      <c r="AT30">
        <v>187725</v>
      </c>
      <c r="AU30">
        <v>154500</v>
      </c>
      <c r="AV30">
        <v>25.45</v>
      </c>
      <c r="AW30">
        <v>25.599999999999898</v>
      </c>
      <c r="AX30">
        <v>33225</v>
      </c>
      <c r="AY30">
        <v>-134.75</v>
      </c>
      <c r="AZ30">
        <v>37800</v>
      </c>
      <c r="BA30">
        <v>-150</v>
      </c>
      <c r="BB30" t="s">
        <v>20</v>
      </c>
      <c r="BC30">
        <v>-53625</v>
      </c>
      <c r="BD30" t="s">
        <v>22</v>
      </c>
      <c r="BE30">
        <v>165.95</v>
      </c>
      <c r="BF30">
        <v>190.9</v>
      </c>
      <c r="BG30">
        <v>191.45</v>
      </c>
      <c r="BH30">
        <v>161.85</v>
      </c>
      <c r="BI30">
        <v>141.27000000000001</v>
      </c>
      <c r="BJ30" s="1">
        <v>45741.482638888891</v>
      </c>
      <c r="BK30">
        <v>1742882700</v>
      </c>
      <c r="BL30">
        <f t="shared" si="1"/>
        <v>1.9999999999999574E-2</v>
      </c>
      <c r="BM30">
        <f t="shared" si="2"/>
        <v>0.18946022727271497</v>
      </c>
      <c r="BN30" s="3">
        <f t="shared" si="3"/>
        <v>-1</v>
      </c>
      <c r="BO30">
        <v>14.16</v>
      </c>
      <c r="BP30">
        <v>14.24</v>
      </c>
      <c r="BQ30">
        <v>14.15</v>
      </c>
      <c r="BR30">
        <v>14.18</v>
      </c>
      <c r="BS30">
        <v>0</v>
      </c>
    </row>
    <row r="31" spans="1:71" s="3" customFormat="1" x14ac:dyDescent="0.25">
      <c r="A31" s="2">
        <v>45741.486111111109</v>
      </c>
      <c r="B31" s="3">
        <v>-2.5499999999992702</v>
      </c>
      <c r="C31">
        <v>137550</v>
      </c>
      <c r="D31">
        <v>180</v>
      </c>
      <c r="E31">
        <v>135375</v>
      </c>
      <c r="F31">
        <v>82050</v>
      </c>
      <c r="G31">
        <v>-2.9000000000014499</v>
      </c>
      <c r="H31">
        <v>-2</v>
      </c>
      <c r="I31">
        <v>53325</v>
      </c>
      <c r="J31">
        <v>-1354.3500000014899</v>
      </c>
      <c r="K31">
        <v>31500</v>
      </c>
      <c r="L31">
        <v>-4200</v>
      </c>
      <c r="M31" t="s">
        <v>20</v>
      </c>
      <c r="N31">
        <v>33375</v>
      </c>
      <c r="O31" t="s">
        <v>22</v>
      </c>
      <c r="P31">
        <v>23770.63</v>
      </c>
      <c r="Q31">
        <v>23681</v>
      </c>
      <c r="R31">
        <v>23678.45</v>
      </c>
      <c r="S31" s="3">
        <v>23699.95</v>
      </c>
      <c r="T31" s="3">
        <v>23665.4</v>
      </c>
      <c r="U31" s="3">
        <f t="shared" si="0"/>
        <v>2.5499999999992724</v>
      </c>
      <c r="V31" s="1">
        <v>45741.486111111109</v>
      </c>
      <c r="W31">
        <v>-0.59999999999999398</v>
      </c>
      <c r="X31">
        <v>2667375</v>
      </c>
      <c r="Y31">
        <v>180</v>
      </c>
      <c r="Z31">
        <v>380475</v>
      </c>
      <c r="AA31">
        <v>351900</v>
      </c>
      <c r="AB31">
        <v>-1.3499999999999901</v>
      </c>
      <c r="AC31">
        <v>-1.4</v>
      </c>
      <c r="AD31">
        <v>28575</v>
      </c>
      <c r="AE31">
        <v>-64.200000000000699</v>
      </c>
      <c r="AF31">
        <v>47100</v>
      </c>
      <c r="AG31">
        <v>24825</v>
      </c>
      <c r="AH31" t="s">
        <v>21</v>
      </c>
      <c r="AI31">
        <v>27375</v>
      </c>
      <c r="AJ31" t="s">
        <v>20</v>
      </c>
      <c r="AK31">
        <v>71.599999999999994</v>
      </c>
      <c r="AL31">
        <v>71</v>
      </c>
      <c r="AM31">
        <v>79.150000000000006</v>
      </c>
      <c r="AN31">
        <v>67.150000000000006</v>
      </c>
      <c r="AO31">
        <v>126.13</v>
      </c>
      <c r="AP31" s="1">
        <v>45741.486111111109</v>
      </c>
      <c r="AQ31">
        <v>-3.9</v>
      </c>
      <c r="AR31">
        <v>1648575</v>
      </c>
      <c r="AS31">
        <v>180</v>
      </c>
      <c r="AT31">
        <v>134100</v>
      </c>
      <c r="AU31">
        <v>201900</v>
      </c>
      <c r="AV31">
        <v>-3.0999999999999899</v>
      </c>
      <c r="AW31">
        <v>-3.30000000000001</v>
      </c>
      <c r="AX31">
        <v>-67800</v>
      </c>
      <c r="AY31">
        <v>-154.15000000000799</v>
      </c>
      <c r="AZ31">
        <v>40050</v>
      </c>
      <c r="BA31">
        <v>-13425</v>
      </c>
      <c r="BB31" t="s">
        <v>21</v>
      </c>
      <c r="BC31">
        <v>-2025</v>
      </c>
      <c r="BD31" t="s">
        <v>21</v>
      </c>
      <c r="BE31">
        <v>189.4</v>
      </c>
      <c r="BF31">
        <v>185.5</v>
      </c>
      <c r="BG31">
        <v>197.65</v>
      </c>
      <c r="BH31">
        <v>177.35</v>
      </c>
      <c r="BI31">
        <v>142.06</v>
      </c>
      <c r="BJ31" s="1">
        <v>45741.486111111109</v>
      </c>
      <c r="BK31">
        <v>1742883000</v>
      </c>
      <c r="BL31" s="3">
        <f t="shared" si="1"/>
        <v>0.10999999999999943</v>
      </c>
      <c r="BM31" s="3">
        <f t="shared" si="2"/>
        <v>1.3764204545450296E-2</v>
      </c>
      <c r="BN31" s="3">
        <f t="shared" si="3"/>
        <v>1</v>
      </c>
      <c r="BO31" s="3">
        <v>14.18</v>
      </c>
      <c r="BP31" s="3">
        <v>14.19</v>
      </c>
      <c r="BQ31" s="3">
        <v>14.05</v>
      </c>
      <c r="BR31" s="3">
        <v>14.07</v>
      </c>
      <c r="BS31" s="3">
        <v>0</v>
      </c>
    </row>
    <row r="32" spans="1:71" s="3" customFormat="1" x14ac:dyDescent="0.25">
      <c r="A32" s="2">
        <v>45741.489583333336</v>
      </c>
      <c r="B32" s="3">
        <v>-3.3500000000021801</v>
      </c>
      <c r="C32">
        <v>74400</v>
      </c>
      <c r="D32">
        <v>175</v>
      </c>
      <c r="E32">
        <v>77625</v>
      </c>
      <c r="F32">
        <v>94800</v>
      </c>
      <c r="G32">
        <v>-5.5</v>
      </c>
      <c r="H32">
        <v>-1.29999999999927</v>
      </c>
      <c r="I32">
        <v>-17175</v>
      </c>
      <c r="J32">
        <v>-1263.65000000037</v>
      </c>
      <c r="K32">
        <v>27375</v>
      </c>
      <c r="L32">
        <v>-3225</v>
      </c>
      <c r="M32" t="s">
        <v>20</v>
      </c>
      <c r="N32">
        <v>13350</v>
      </c>
      <c r="O32" t="s">
        <v>20</v>
      </c>
      <c r="P32">
        <v>23769.46</v>
      </c>
      <c r="Q32">
        <v>23678.45</v>
      </c>
      <c r="R32">
        <v>23675.1</v>
      </c>
      <c r="S32" s="3">
        <v>23703</v>
      </c>
      <c r="T32" s="3">
        <v>23675.1</v>
      </c>
      <c r="U32" s="3">
        <f t="shared" si="0"/>
        <v>3.3500000000021828</v>
      </c>
      <c r="V32" s="1">
        <v>45741.489583333336</v>
      </c>
      <c r="W32">
        <v>-2.0499999999999901</v>
      </c>
      <c r="X32">
        <v>1891875</v>
      </c>
      <c r="Y32">
        <v>180</v>
      </c>
      <c r="Z32">
        <v>416700</v>
      </c>
      <c r="AA32">
        <v>433650</v>
      </c>
      <c r="AB32">
        <v>-1.5999999999999901</v>
      </c>
      <c r="AC32">
        <v>-1.65</v>
      </c>
      <c r="AD32">
        <v>-16950</v>
      </c>
      <c r="AE32">
        <v>-65.599999999998502</v>
      </c>
      <c r="AF32">
        <v>42675</v>
      </c>
      <c r="AG32">
        <v>-5775</v>
      </c>
      <c r="AH32" t="s">
        <v>22</v>
      </c>
      <c r="AI32">
        <v>38625</v>
      </c>
      <c r="AJ32" t="s">
        <v>20</v>
      </c>
      <c r="AK32">
        <v>70.8</v>
      </c>
      <c r="AL32">
        <v>68.75</v>
      </c>
      <c r="AM32">
        <v>78.150000000000006</v>
      </c>
      <c r="AN32">
        <v>68.75</v>
      </c>
      <c r="AO32">
        <v>125.43</v>
      </c>
      <c r="AP32" s="1">
        <v>45741.489583333336</v>
      </c>
      <c r="AQ32">
        <v>2.8500000000000201</v>
      </c>
      <c r="AR32">
        <v>926250</v>
      </c>
      <c r="AS32">
        <v>180</v>
      </c>
      <c r="AT32">
        <v>191625</v>
      </c>
      <c r="AU32">
        <v>201450</v>
      </c>
      <c r="AV32">
        <v>2.55000000000001</v>
      </c>
      <c r="AW32">
        <v>2.65</v>
      </c>
      <c r="AX32">
        <v>-9825</v>
      </c>
      <c r="AY32">
        <v>-152.350000000005</v>
      </c>
      <c r="AZ32">
        <v>40650</v>
      </c>
      <c r="BA32">
        <v>21600</v>
      </c>
      <c r="BB32" t="s">
        <v>22</v>
      </c>
      <c r="BC32">
        <v>975</v>
      </c>
      <c r="BD32" t="s">
        <v>20</v>
      </c>
      <c r="BE32">
        <v>185.95</v>
      </c>
      <c r="BF32">
        <v>188.8</v>
      </c>
      <c r="BG32">
        <v>189</v>
      </c>
      <c r="BH32">
        <v>170.55</v>
      </c>
      <c r="BI32">
        <v>142.43</v>
      </c>
      <c r="BJ32" s="1">
        <v>45741.489583333336</v>
      </c>
      <c r="BK32">
        <v>1742883300</v>
      </c>
      <c r="BL32" s="3">
        <f t="shared" si="1"/>
        <v>9.9999999999999645E-2</v>
      </c>
      <c r="BM32" s="3">
        <f t="shared" si="2"/>
        <v>1.8082386363647722E-2</v>
      </c>
      <c r="BN32" s="3">
        <f t="shared" si="3"/>
        <v>1</v>
      </c>
      <c r="BO32" s="3">
        <v>14.06</v>
      </c>
      <c r="BP32" s="3">
        <v>14.18</v>
      </c>
      <c r="BQ32" s="3">
        <v>14.06</v>
      </c>
      <c r="BR32" s="3">
        <v>14.16</v>
      </c>
      <c r="BS32" s="3">
        <v>0</v>
      </c>
    </row>
    <row r="33" spans="1:71" x14ac:dyDescent="0.25">
      <c r="A33" s="1">
        <v>45741.493055555555</v>
      </c>
      <c r="B33">
        <v>34.150000000001398</v>
      </c>
      <c r="C33">
        <v>85125</v>
      </c>
      <c r="D33">
        <v>176</v>
      </c>
      <c r="E33">
        <v>90450</v>
      </c>
      <c r="F33">
        <v>113025</v>
      </c>
      <c r="G33">
        <v>33.900000000001398</v>
      </c>
      <c r="H33">
        <v>29.75</v>
      </c>
      <c r="I33">
        <v>-22575</v>
      </c>
      <c r="J33">
        <v>-973.04999999981305</v>
      </c>
      <c r="K33">
        <v>29700</v>
      </c>
      <c r="L33">
        <v>16950</v>
      </c>
      <c r="M33" t="s">
        <v>21</v>
      </c>
      <c r="N33">
        <v>-15300</v>
      </c>
      <c r="O33" t="s">
        <v>21</v>
      </c>
      <c r="P33">
        <v>23768.22</v>
      </c>
      <c r="Q33">
        <v>23675.1</v>
      </c>
      <c r="R33">
        <v>23709.25</v>
      </c>
      <c r="S33">
        <v>23716.75</v>
      </c>
      <c r="T33">
        <v>23665</v>
      </c>
      <c r="U33">
        <f t="shared" si="0"/>
        <v>34.150000000001455</v>
      </c>
      <c r="V33" s="1">
        <v>45741.493055555555</v>
      </c>
      <c r="W33">
        <v>11.95</v>
      </c>
      <c r="X33">
        <v>2596275</v>
      </c>
      <c r="Y33">
        <v>180</v>
      </c>
      <c r="Z33">
        <v>430650</v>
      </c>
      <c r="AA33">
        <v>374850</v>
      </c>
      <c r="AB33">
        <v>12.2</v>
      </c>
      <c r="AC33">
        <v>12.299999999999899</v>
      </c>
      <c r="AD33">
        <v>55800</v>
      </c>
      <c r="AE33">
        <v>-62.049999999995599</v>
      </c>
      <c r="AF33">
        <v>43200</v>
      </c>
      <c r="AG33">
        <v>91950</v>
      </c>
      <c r="AH33" t="s">
        <v>21</v>
      </c>
      <c r="AI33">
        <v>-46500</v>
      </c>
      <c r="AJ33" t="s">
        <v>21</v>
      </c>
      <c r="AK33">
        <v>69.05</v>
      </c>
      <c r="AL33">
        <v>81</v>
      </c>
      <c r="AM33">
        <v>81.400000000000006</v>
      </c>
      <c r="AN33">
        <v>66.25</v>
      </c>
      <c r="AO33">
        <v>124.51</v>
      </c>
      <c r="AP33" s="1">
        <v>45741.493055555555</v>
      </c>
      <c r="AQ33">
        <v>-23.1999999999999</v>
      </c>
      <c r="AR33">
        <v>1194750</v>
      </c>
      <c r="AS33">
        <v>180</v>
      </c>
      <c r="AT33">
        <v>147975</v>
      </c>
      <c r="AU33">
        <v>167775</v>
      </c>
      <c r="AV33">
        <v>-23.149999999999899</v>
      </c>
      <c r="AW33">
        <v>-23.099999999999898</v>
      </c>
      <c r="AX33">
        <v>-19800</v>
      </c>
      <c r="AY33">
        <v>-144</v>
      </c>
      <c r="AZ33">
        <v>35025</v>
      </c>
      <c r="BA33">
        <v>-29700</v>
      </c>
      <c r="BB33" t="s">
        <v>21</v>
      </c>
      <c r="BC33">
        <v>10200</v>
      </c>
      <c r="BD33" t="s">
        <v>20</v>
      </c>
      <c r="BE33">
        <v>188.7</v>
      </c>
      <c r="BF33">
        <v>165.5</v>
      </c>
      <c r="BG33">
        <v>196.45</v>
      </c>
      <c r="BH33">
        <v>163.65</v>
      </c>
      <c r="BI33">
        <v>142.87</v>
      </c>
      <c r="BJ33" s="1">
        <v>45741.493055555555</v>
      </c>
      <c r="BK33">
        <v>1742883600</v>
      </c>
      <c r="BL33">
        <f t="shared" si="1"/>
        <v>6.0000000000000497E-2</v>
      </c>
      <c r="BM33">
        <f t="shared" si="2"/>
        <v>0.18433238636363991</v>
      </c>
      <c r="BN33" s="3">
        <f t="shared" si="3"/>
        <v>-1</v>
      </c>
      <c r="BO33">
        <v>14.17</v>
      </c>
      <c r="BP33">
        <v>14.18</v>
      </c>
      <c r="BQ33">
        <v>14.05</v>
      </c>
      <c r="BR33">
        <v>14.11</v>
      </c>
      <c r="BS33">
        <v>0</v>
      </c>
    </row>
    <row r="34" spans="1:71" x14ac:dyDescent="0.25">
      <c r="A34" s="1">
        <v>45741.496527777781</v>
      </c>
      <c r="B34">
        <v>29.25</v>
      </c>
      <c r="C34">
        <v>73275</v>
      </c>
      <c r="D34">
        <v>149</v>
      </c>
      <c r="E34">
        <v>53250</v>
      </c>
      <c r="F34">
        <v>128850</v>
      </c>
      <c r="G34">
        <v>27.350000000002101</v>
      </c>
      <c r="H34">
        <v>28</v>
      </c>
      <c r="I34">
        <v>-75600</v>
      </c>
      <c r="J34">
        <v>-650</v>
      </c>
      <c r="K34">
        <v>27825</v>
      </c>
      <c r="L34">
        <v>35025</v>
      </c>
      <c r="M34" t="s">
        <v>20</v>
      </c>
      <c r="N34">
        <v>-13050</v>
      </c>
      <c r="O34" t="s">
        <v>20</v>
      </c>
      <c r="P34">
        <v>23767.5</v>
      </c>
      <c r="Q34">
        <v>23709.75</v>
      </c>
      <c r="R34">
        <v>23739</v>
      </c>
      <c r="S34">
        <v>23739</v>
      </c>
      <c r="T34">
        <v>23696.3</v>
      </c>
      <c r="U34">
        <f t="shared" si="0"/>
        <v>29.25</v>
      </c>
      <c r="V34" s="1">
        <v>45741.496527777781</v>
      </c>
      <c r="W34">
        <v>11.799999999999899</v>
      </c>
      <c r="X34">
        <v>2620350</v>
      </c>
      <c r="Y34">
        <v>180</v>
      </c>
      <c r="Z34">
        <v>376575</v>
      </c>
      <c r="AA34">
        <v>407100</v>
      </c>
      <c r="AB34">
        <v>11.25</v>
      </c>
      <c r="AC34">
        <v>11.299999999999899</v>
      </c>
      <c r="AD34">
        <v>-30525</v>
      </c>
      <c r="AE34">
        <v>-69.550000000002896</v>
      </c>
      <c r="AF34">
        <v>44775</v>
      </c>
      <c r="AG34">
        <v>66675</v>
      </c>
      <c r="AH34" t="s">
        <v>20</v>
      </c>
      <c r="AI34">
        <v>-142725</v>
      </c>
      <c r="AJ34" t="s">
        <v>21</v>
      </c>
      <c r="AK34">
        <v>80.75</v>
      </c>
      <c r="AL34">
        <v>92.55</v>
      </c>
      <c r="AM34">
        <v>92.55</v>
      </c>
      <c r="AN34">
        <v>76.05</v>
      </c>
      <c r="AO34">
        <v>123.77</v>
      </c>
      <c r="AP34" s="1">
        <v>45741.496527777781</v>
      </c>
      <c r="AQ34">
        <v>-17.2</v>
      </c>
      <c r="AR34">
        <v>1050225</v>
      </c>
      <c r="AS34">
        <v>180</v>
      </c>
      <c r="AT34">
        <v>184425</v>
      </c>
      <c r="AU34">
        <v>171150</v>
      </c>
      <c r="AV34">
        <v>-16.649999999999999</v>
      </c>
      <c r="AW34">
        <v>-16.599999999999898</v>
      </c>
      <c r="AX34">
        <v>13275</v>
      </c>
      <c r="AY34">
        <v>-137.449999999997</v>
      </c>
      <c r="AZ34">
        <v>38550</v>
      </c>
      <c r="BA34">
        <v>-48750</v>
      </c>
      <c r="BB34" t="s">
        <v>21</v>
      </c>
      <c r="BC34">
        <v>28800</v>
      </c>
      <c r="BD34" t="s">
        <v>20</v>
      </c>
      <c r="BE34">
        <v>165.9</v>
      </c>
      <c r="BF34">
        <v>148.69999999999999</v>
      </c>
      <c r="BG34">
        <v>175.5</v>
      </c>
      <c r="BH34">
        <v>148.69999999999999</v>
      </c>
      <c r="BI34">
        <v>143.08000000000001</v>
      </c>
      <c r="BJ34" s="1">
        <v>45741.496527777781</v>
      </c>
      <c r="BK34">
        <v>1742883900</v>
      </c>
      <c r="BL34">
        <f t="shared" si="1"/>
        <v>1.0000000000001563E-2</v>
      </c>
      <c r="BM34">
        <f t="shared" si="2"/>
        <v>0.15788352272726905</v>
      </c>
      <c r="BN34" s="3">
        <f t="shared" si="3"/>
        <v>-1</v>
      </c>
      <c r="BO34">
        <v>14.12</v>
      </c>
      <c r="BP34">
        <v>14.18</v>
      </c>
      <c r="BQ34">
        <v>14.09</v>
      </c>
      <c r="BR34">
        <v>14.13</v>
      </c>
      <c r="BS34">
        <v>0</v>
      </c>
    </row>
    <row r="35" spans="1:71" s="3" customFormat="1" x14ac:dyDescent="0.25">
      <c r="A35" s="2">
        <v>45741.5</v>
      </c>
      <c r="B35" s="3">
        <v>-5</v>
      </c>
      <c r="C35">
        <v>98325</v>
      </c>
      <c r="D35">
        <v>161</v>
      </c>
      <c r="E35">
        <v>78525</v>
      </c>
      <c r="F35">
        <v>82800</v>
      </c>
      <c r="G35">
        <v>-4.6500000000014499</v>
      </c>
      <c r="H35">
        <v>-4</v>
      </c>
      <c r="I35">
        <v>-4275</v>
      </c>
      <c r="J35">
        <v>-758.850000000558</v>
      </c>
      <c r="K35">
        <v>30900</v>
      </c>
      <c r="L35">
        <v>-10500</v>
      </c>
      <c r="M35" t="s">
        <v>22</v>
      </c>
      <c r="N35">
        <v>15000</v>
      </c>
      <c r="O35" t="s">
        <v>22</v>
      </c>
      <c r="P35">
        <v>23766.94</v>
      </c>
      <c r="Q35">
        <v>23740</v>
      </c>
      <c r="R35">
        <v>23735</v>
      </c>
      <c r="S35" s="3">
        <v>23744.799999999999</v>
      </c>
      <c r="T35" s="3">
        <v>23729.4</v>
      </c>
      <c r="U35" s="3">
        <f t="shared" si="0"/>
        <v>5</v>
      </c>
      <c r="V35" s="1">
        <v>45741.5</v>
      </c>
      <c r="W35">
        <v>-1.45</v>
      </c>
      <c r="X35">
        <v>3119625</v>
      </c>
      <c r="Y35">
        <v>180</v>
      </c>
      <c r="Z35">
        <v>329475</v>
      </c>
      <c r="AA35">
        <v>429450</v>
      </c>
      <c r="AB35">
        <v>-1.5499999999999901</v>
      </c>
      <c r="AC35">
        <v>-1.5999999999999901</v>
      </c>
      <c r="AD35">
        <v>-99975</v>
      </c>
      <c r="AE35">
        <v>-76.049999999995606</v>
      </c>
      <c r="AF35">
        <v>40125</v>
      </c>
      <c r="AG35">
        <v>-204075</v>
      </c>
      <c r="AH35" t="s">
        <v>22</v>
      </c>
      <c r="AI35">
        <v>108675</v>
      </c>
      <c r="AJ35" t="s">
        <v>22</v>
      </c>
      <c r="AK35">
        <v>92.95</v>
      </c>
      <c r="AL35">
        <v>91.5</v>
      </c>
      <c r="AM35">
        <v>95.55</v>
      </c>
      <c r="AN35">
        <v>89.05</v>
      </c>
      <c r="AO35">
        <v>123.1</v>
      </c>
      <c r="AP35" s="1">
        <v>45741.5</v>
      </c>
      <c r="AQ35">
        <v>2.9500000000000099</v>
      </c>
      <c r="AR35">
        <v>1071825</v>
      </c>
      <c r="AS35">
        <v>180</v>
      </c>
      <c r="AT35">
        <v>226950</v>
      </c>
      <c r="AU35">
        <v>182925</v>
      </c>
      <c r="AV35">
        <v>3.1999999999999802</v>
      </c>
      <c r="AW35">
        <v>3.2000000000000099</v>
      </c>
      <c r="AX35">
        <v>44025</v>
      </c>
      <c r="AY35">
        <v>-119.54999999999499</v>
      </c>
      <c r="AZ35">
        <v>40050</v>
      </c>
      <c r="BA35">
        <v>-54375</v>
      </c>
      <c r="BB35" t="s">
        <v>21</v>
      </c>
      <c r="BC35">
        <v>25200</v>
      </c>
      <c r="BD35" t="s">
        <v>20</v>
      </c>
      <c r="BE35">
        <v>147.94999999999999</v>
      </c>
      <c r="BF35">
        <v>150.9</v>
      </c>
      <c r="BG35">
        <v>154.75</v>
      </c>
      <c r="BH35">
        <v>145.5</v>
      </c>
      <c r="BI35">
        <v>143.16</v>
      </c>
      <c r="BJ35" s="1">
        <v>45741.5</v>
      </c>
      <c r="BK35">
        <v>1742884200</v>
      </c>
      <c r="BL35" s="3">
        <f t="shared" si="1"/>
        <v>5.0000000000000711E-2</v>
      </c>
      <c r="BM35" s="3">
        <f t="shared" si="2"/>
        <v>2.6988636363635733E-2</v>
      </c>
      <c r="BN35" s="3">
        <f t="shared" si="3"/>
        <v>1</v>
      </c>
      <c r="BO35" s="3">
        <v>14.12</v>
      </c>
      <c r="BP35" s="3">
        <v>14.18</v>
      </c>
      <c r="BQ35" s="3">
        <v>14.1</v>
      </c>
      <c r="BR35" s="3">
        <v>14.17</v>
      </c>
      <c r="BS35" s="3">
        <v>0</v>
      </c>
    </row>
    <row r="36" spans="1:71" x14ac:dyDescent="0.25">
      <c r="A36" s="1">
        <v>45741.503472222219</v>
      </c>
      <c r="B36">
        <v>24.75</v>
      </c>
      <c r="C36">
        <v>112875</v>
      </c>
      <c r="D36">
        <v>161</v>
      </c>
      <c r="E36">
        <v>61950</v>
      </c>
      <c r="F36">
        <v>96825</v>
      </c>
      <c r="G36">
        <v>24.450000000000699</v>
      </c>
      <c r="H36">
        <v>23</v>
      </c>
      <c r="I36">
        <v>-34875</v>
      </c>
      <c r="J36">
        <v>-751.14999999944098</v>
      </c>
      <c r="K36">
        <v>26250</v>
      </c>
      <c r="L36">
        <v>8250</v>
      </c>
      <c r="M36" t="s">
        <v>20</v>
      </c>
      <c r="N36">
        <v>-26700</v>
      </c>
      <c r="O36" t="s">
        <v>21</v>
      </c>
      <c r="P36">
        <v>23766.6</v>
      </c>
      <c r="Q36">
        <v>23734.25</v>
      </c>
      <c r="R36">
        <v>23759</v>
      </c>
      <c r="S36">
        <v>23765</v>
      </c>
      <c r="T36">
        <v>23726</v>
      </c>
      <c r="U36">
        <f t="shared" si="0"/>
        <v>24.75</v>
      </c>
      <c r="V36" s="1">
        <v>45741.503472222219</v>
      </c>
      <c r="W36">
        <v>8.25</v>
      </c>
      <c r="X36">
        <v>3657075</v>
      </c>
      <c r="Y36">
        <v>181</v>
      </c>
      <c r="Z36">
        <v>337500</v>
      </c>
      <c r="AA36">
        <v>423900</v>
      </c>
      <c r="AB36">
        <v>8.6999999999999797</v>
      </c>
      <c r="AC36">
        <v>8.6</v>
      </c>
      <c r="AD36">
        <v>-86400</v>
      </c>
      <c r="AE36">
        <v>-76.200000000011599</v>
      </c>
      <c r="AF36">
        <v>46575</v>
      </c>
      <c r="AG36">
        <v>67200</v>
      </c>
      <c r="AH36" t="s">
        <v>21</v>
      </c>
      <c r="AI36">
        <v>-203025</v>
      </c>
      <c r="AJ36" t="s">
        <v>21</v>
      </c>
      <c r="AK36">
        <v>91.55</v>
      </c>
      <c r="AL36">
        <v>99.8</v>
      </c>
      <c r="AM36">
        <v>101.45</v>
      </c>
      <c r="AN36">
        <v>87.35</v>
      </c>
      <c r="AO36">
        <v>122.46</v>
      </c>
      <c r="AP36" s="1">
        <v>45741.503472222219</v>
      </c>
      <c r="AQ36">
        <v>-15.25</v>
      </c>
      <c r="AR36">
        <v>1286775</v>
      </c>
      <c r="AS36">
        <v>180</v>
      </c>
      <c r="AT36">
        <v>207225</v>
      </c>
      <c r="AU36">
        <v>195000</v>
      </c>
      <c r="AV36">
        <v>-15.95</v>
      </c>
      <c r="AW36">
        <v>-15.95</v>
      </c>
      <c r="AX36">
        <v>12225</v>
      </c>
      <c r="AY36">
        <v>-115.450000000004</v>
      </c>
      <c r="AZ36">
        <v>40725</v>
      </c>
      <c r="BA36">
        <v>-19575</v>
      </c>
      <c r="BB36" t="s">
        <v>22</v>
      </c>
      <c r="BC36">
        <v>-2025</v>
      </c>
      <c r="BD36" t="s">
        <v>22</v>
      </c>
      <c r="BE36">
        <v>151.25</v>
      </c>
      <c r="BF36">
        <v>136</v>
      </c>
      <c r="BG36">
        <v>157</v>
      </c>
      <c r="BH36">
        <v>133.69999999999999</v>
      </c>
      <c r="BI36">
        <v>143.16999999999999</v>
      </c>
      <c r="BJ36" s="1">
        <v>45741.503472222219</v>
      </c>
      <c r="BK36">
        <v>1742884500</v>
      </c>
      <c r="BL36">
        <f t="shared" si="1"/>
        <v>1.9999999999999574E-2</v>
      </c>
      <c r="BM36">
        <f t="shared" si="2"/>
        <v>0.13359374999999687</v>
      </c>
      <c r="BN36" s="3">
        <f t="shared" si="3"/>
        <v>-1</v>
      </c>
      <c r="BO36">
        <v>14.17</v>
      </c>
      <c r="BP36">
        <v>14.19</v>
      </c>
      <c r="BQ36">
        <v>14.1</v>
      </c>
      <c r="BR36">
        <v>14.15</v>
      </c>
      <c r="BS36">
        <v>0</v>
      </c>
    </row>
    <row r="37" spans="1:71" x14ac:dyDescent="0.25">
      <c r="A37" s="1">
        <v>45741.506944444445</v>
      </c>
      <c r="B37">
        <v>-32.950000000000699</v>
      </c>
      <c r="C37">
        <v>66900</v>
      </c>
      <c r="D37">
        <v>157</v>
      </c>
      <c r="E37">
        <v>70500</v>
      </c>
      <c r="F37">
        <v>64275</v>
      </c>
      <c r="G37">
        <v>-30.200000000000699</v>
      </c>
      <c r="H37">
        <v>-33.400000000001398</v>
      </c>
      <c r="I37">
        <v>6225</v>
      </c>
      <c r="J37">
        <v>-817.44999999925403</v>
      </c>
      <c r="K37">
        <v>27900</v>
      </c>
      <c r="L37">
        <v>-1350</v>
      </c>
      <c r="M37" t="s">
        <v>22</v>
      </c>
      <c r="N37">
        <v>15525</v>
      </c>
      <c r="O37" t="s">
        <v>22</v>
      </c>
      <c r="P37">
        <v>23766.23</v>
      </c>
      <c r="Q37">
        <v>23759</v>
      </c>
      <c r="R37">
        <v>23726.05</v>
      </c>
      <c r="S37">
        <v>23760</v>
      </c>
      <c r="T37">
        <v>23716</v>
      </c>
      <c r="U37">
        <f t="shared" si="0"/>
        <v>32.950000000000728</v>
      </c>
      <c r="V37" s="1">
        <v>45741.506944444445</v>
      </c>
      <c r="W37">
        <v>-13.5999999999999</v>
      </c>
      <c r="X37">
        <v>2978400</v>
      </c>
      <c r="Y37">
        <v>180</v>
      </c>
      <c r="Z37">
        <v>426525</v>
      </c>
      <c r="AA37">
        <v>383100</v>
      </c>
      <c r="AB37">
        <v>-13.299999999999899</v>
      </c>
      <c r="AC37">
        <v>-13.35</v>
      </c>
      <c r="AD37">
        <v>43425</v>
      </c>
      <c r="AE37">
        <v>-77.450000000004295</v>
      </c>
      <c r="AF37">
        <v>49875</v>
      </c>
      <c r="AG37">
        <v>-80175</v>
      </c>
      <c r="AH37" t="s">
        <v>22</v>
      </c>
      <c r="AI37">
        <v>122625</v>
      </c>
      <c r="AJ37" t="s">
        <v>22</v>
      </c>
      <c r="AK37">
        <v>98.3</v>
      </c>
      <c r="AL37">
        <v>84.7</v>
      </c>
      <c r="AM37">
        <v>99.45</v>
      </c>
      <c r="AN37">
        <v>81.95</v>
      </c>
      <c r="AO37">
        <v>121.82</v>
      </c>
      <c r="AP37" s="1">
        <v>45741.506944444445</v>
      </c>
      <c r="AQ37">
        <v>20.5</v>
      </c>
      <c r="AR37">
        <v>1567800</v>
      </c>
      <c r="AS37">
        <v>180</v>
      </c>
      <c r="AT37">
        <v>263925</v>
      </c>
      <c r="AU37">
        <v>198450</v>
      </c>
      <c r="AV37">
        <v>19.599999999999898</v>
      </c>
      <c r="AW37">
        <v>19.649999999999899</v>
      </c>
      <c r="AX37">
        <v>65475</v>
      </c>
      <c r="AY37">
        <v>-123.949999999997</v>
      </c>
      <c r="AZ37">
        <v>43800</v>
      </c>
      <c r="BA37">
        <v>2175</v>
      </c>
      <c r="BB37" t="s">
        <v>22</v>
      </c>
      <c r="BC37">
        <v>-13125</v>
      </c>
      <c r="BD37" t="s">
        <v>22</v>
      </c>
      <c r="BE37">
        <v>137.55000000000001</v>
      </c>
      <c r="BF37">
        <v>158.05000000000001</v>
      </c>
      <c r="BG37">
        <v>161.05000000000001</v>
      </c>
      <c r="BH37">
        <v>135.80000000000001</v>
      </c>
      <c r="BI37">
        <v>143.28</v>
      </c>
      <c r="BJ37" s="1">
        <v>45741.506944444445</v>
      </c>
      <c r="BK37">
        <v>1742884800</v>
      </c>
      <c r="BL37">
        <f t="shared" si="1"/>
        <v>6.0000000000000497E-2</v>
      </c>
      <c r="BM37">
        <f t="shared" si="2"/>
        <v>0.17785511363636342</v>
      </c>
      <c r="BN37" s="3">
        <f t="shared" si="3"/>
        <v>-1</v>
      </c>
      <c r="BO37">
        <v>14.14</v>
      </c>
      <c r="BP37">
        <v>14.17</v>
      </c>
      <c r="BQ37">
        <v>14.06</v>
      </c>
      <c r="BR37">
        <v>14.08</v>
      </c>
      <c r="BS37">
        <v>0</v>
      </c>
    </row>
    <row r="38" spans="1:71" x14ac:dyDescent="0.25">
      <c r="A38" s="1">
        <v>45741.510416666664</v>
      </c>
      <c r="B38">
        <v>-33.349999999998502</v>
      </c>
      <c r="C38">
        <v>74550</v>
      </c>
      <c r="D38">
        <v>168</v>
      </c>
      <c r="E38">
        <v>102375</v>
      </c>
      <c r="F38">
        <v>71025</v>
      </c>
      <c r="G38">
        <v>-33.549999999999201</v>
      </c>
      <c r="H38">
        <v>-31.299999999999201</v>
      </c>
      <c r="I38">
        <v>31350</v>
      </c>
      <c r="J38">
        <v>-696.999999999068</v>
      </c>
      <c r="K38">
        <v>30000</v>
      </c>
      <c r="L38">
        <v>-19725</v>
      </c>
      <c r="M38" t="s">
        <v>22</v>
      </c>
      <c r="N38">
        <v>35250</v>
      </c>
      <c r="O38" t="s">
        <v>20</v>
      </c>
      <c r="P38">
        <v>23765.48</v>
      </c>
      <c r="Q38">
        <v>23726.05</v>
      </c>
      <c r="R38">
        <v>23692.7</v>
      </c>
      <c r="S38">
        <v>23730.75</v>
      </c>
      <c r="T38">
        <v>23685</v>
      </c>
      <c r="U38">
        <f t="shared" si="0"/>
        <v>33.349999999998545</v>
      </c>
      <c r="V38" s="1">
        <v>45741.510416666664</v>
      </c>
      <c r="W38">
        <v>-11.799999999999899</v>
      </c>
      <c r="X38">
        <v>2412300</v>
      </c>
      <c r="Y38">
        <v>180</v>
      </c>
      <c r="Z38">
        <v>329550</v>
      </c>
      <c r="AA38">
        <v>305925</v>
      </c>
      <c r="AB38">
        <v>-11.85</v>
      </c>
      <c r="AC38">
        <v>-11.8499999999999</v>
      </c>
      <c r="AD38">
        <v>23625</v>
      </c>
      <c r="AE38">
        <v>-67.649999999997803</v>
      </c>
      <c r="AF38">
        <v>41700</v>
      </c>
      <c r="AG38">
        <v>-53250</v>
      </c>
      <c r="AH38" t="s">
        <v>21</v>
      </c>
      <c r="AI38">
        <v>54750</v>
      </c>
      <c r="AJ38" t="s">
        <v>20</v>
      </c>
      <c r="AK38">
        <v>84.85</v>
      </c>
      <c r="AL38">
        <v>73.05</v>
      </c>
      <c r="AM38">
        <v>88.75</v>
      </c>
      <c r="AN38">
        <v>69.55</v>
      </c>
      <c r="AO38">
        <v>121.17</v>
      </c>
      <c r="AP38" s="1">
        <v>45741.510416666664</v>
      </c>
      <c r="AQ38">
        <v>18.599999999999898</v>
      </c>
      <c r="AR38">
        <v>1459425</v>
      </c>
      <c r="AS38">
        <v>180</v>
      </c>
      <c r="AT38">
        <v>185175</v>
      </c>
      <c r="AU38">
        <v>220050</v>
      </c>
      <c r="AV38">
        <v>18.5</v>
      </c>
      <c r="AW38">
        <v>18.5</v>
      </c>
      <c r="AX38">
        <v>-34875</v>
      </c>
      <c r="AY38">
        <v>-130.04999999999501</v>
      </c>
      <c r="AZ38">
        <v>39900</v>
      </c>
      <c r="BA38">
        <v>26925</v>
      </c>
      <c r="BB38" t="s">
        <v>22</v>
      </c>
      <c r="BC38">
        <v>-66675</v>
      </c>
      <c r="BD38" t="s">
        <v>22</v>
      </c>
      <c r="BE38">
        <v>157.15</v>
      </c>
      <c r="BF38">
        <v>175.75</v>
      </c>
      <c r="BG38">
        <v>182.25</v>
      </c>
      <c r="BH38">
        <v>152.25</v>
      </c>
      <c r="BI38">
        <v>143.61000000000001</v>
      </c>
      <c r="BJ38" s="1">
        <v>45741.510416666664</v>
      </c>
      <c r="BK38">
        <v>1742885100</v>
      </c>
      <c r="BL38">
        <f t="shared" si="1"/>
        <v>9.9999999999999645E-2</v>
      </c>
      <c r="BM38">
        <f t="shared" si="2"/>
        <v>0.18001420454544248</v>
      </c>
      <c r="BN38" s="3">
        <f t="shared" si="3"/>
        <v>-1</v>
      </c>
      <c r="BO38">
        <v>14.1</v>
      </c>
      <c r="BP38">
        <v>14.11</v>
      </c>
      <c r="BQ38">
        <v>13.97</v>
      </c>
      <c r="BR38">
        <v>14</v>
      </c>
      <c r="BS38">
        <v>0</v>
      </c>
    </row>
    <row r="39" spans="1:71" x14ac:dyDescent="0.25">
      <c r="A39" s="1">
        <v>45741.513888888891</v>
      </c>
      <c r="B39">
        <v>27.5</v>
      </c>
      <c r="C39">
        <v>47250</v>
      </c>
      <c r="D39">
        <v>144</v>
      </c>
      <c r="E39">
        <v>55950</v>
      </c>
      <c r="F39">
        <v>54825</v>
      </c>
      <c r="G39">
        <v>27.950000000000699</v>
      </c>
      <c r="H39">
        <v>32.25</v>
      </c>
      <c r="I39">
        <v>1125</v>
      </c>
      <c r="J39">
        <v>-905.35000000149</v>
      </c>
      <c r="K39">
        <v>23625</v>
      </c>
      <c r="L39">
        <v>15525</v>
      </c>
      <c r="M39" t="s">
        <v>21</v>
      </c>
      <c r="N39">
        <v>-65325</v>
      </c>
      <c r="O39" t="s">
        <v>21</v>
      </c>
      <c r="P39">
        <v>23765.02</v>
      </c>
      <c r="Q39">
        <v>23692.65</v>
      </c>
      <c r="R39">
        <v>23720.15</v>
      </c>
      <c r="S39">
        <v>23729.200000000001</v>
      </c>
      <c r="T39">
        <v>23690</v>
      </c>
      <c r="U39">
        <f t="shared" si="0"/>
        <v>27.5</v>
      </c>
      <c r="V39" s="1">
        <v>45741.513888888891</v>
      </c>
      <c r="W39">
        <v>10.5999999999999</v>
      </c>
      <c r="X39">
        <v>2303100</v>
      </c>
      <c r="Y39">
        <v>179</v>
      </c>
      <c r="Z39">
        <v>372675</v>
      </c>
      <c r="AA39">
        <v>316500</v>
      </c>
      <c r="AB39">
        <v>11.649999999999901</v>
      </c>
      <c r="AC39">
        <v>11.549999999999899</v>
      </c>
      <c r="AD39">
        <v>56175</v>
      </c>
      <c r="AE39">
        <v>-66.25</v>
      </c>
      <c r="AF39">
        <v>43050</v>
      </c>
      <c r="AG39">
        <v>72975</v>
      </c>
      <c r="AH39" t="s">
        <v>21</v>
      </c>
      <c r="AI39">
        <v>-4050</v>
      </c>
      <c r="AJ39" t="s">
        <v>21</v>
      </c>
      <c r="AK39">
        <v>73</v>
      </c>
      <c r="AL39">
        <v>83.6</v>
      </c>
      <c r="AM39">
        <v>85.35</v>
      </c>
      <c r="AN39">
        <v>73</v>
      </c>
      <c r="AO39">
        <v>120.58</v>
      </c>
      <c r="AP39" s="1">
        <v>45741.513888888891</v>
      </c>
      <c r="AQ39">
        <v>-15.55</v>
      </c>
      <c r="AR39">
        <v>1116300</v>
      </c>
      <c r="AS39">
        <v>179</v>
      </c>
      <c r="AT39">
        <v>140475</v>
      </c>
      <c r="AU39">
        <v>159900</v>
      </c>
      <c r="AV39">
        <v>-17.149999999999999</v>
      </c>
      <c r="AW39">
        <v>-17.1999999999999</v>
      </c>
      <c r="AX39">
        <v>-19425</v>
      </c>
      <c r="AY39">
        <v>-122.950000000011</v>
      </c>
      <c r="AZ39">
        <v>39300</v>
      </c>
      <c r="BA39">
        <v>-34050</v>
      </c>
      <c r="BB39" t="s">
        <v>21</v>
      </c>
      <c r="BC39">
        <v>63150</v>
      </c>
      <c r="BD39" t="s">
        <v>21</v>
      </c>
      <c r="BE39">
        <v>175.25</v>
      </c>
      <c r="BF39">
        <v>159.69999999999999</v>
      </c>
      <c r="BG39">
        <v>180.9</v>
      </c>
      <c r="BH39">
        <v>155.85</v>
      </c>
      <c r="BI39">
        <v>143.86000000000001</v>
      </c>
      <c r="BJ39" s="1">
        <v>45741.513888888891</v>
      </c>
      <c r="BK39">
        <v>1742885400</v>
      </c>
      <c r="BL39">
        <f t="shared" si="1"/>
        <v>9.9999999999997868E-3</v>
      </c>
      <c r="BM39">
        <f t="shared" si="2"/>
        <v>0.14843749999999653</v>
      </c>
      <c r="BN39" s="3">
        <f t="shared" si="3"/>
        <v>-1</v>
      </c>
      <c r="BO39">
        <v>14.01</v>
      </c>
      <c r="BP39">
        <v>14.08</v>
      </c>
      <c r="BQ39">
        <v>13.98</v>
      </c>
      <c r="BR39">
        <v>14</v>
      </c>
      <c r="BS39">
        <v>0</v>
      </c>
    </row>
    <row r="40" spans="1:71" s="3" customFormat="1" x14ac:dyDescent="0.25">
      <c r="A40" s="2">
        <v>45741.517361111109</v>
      </c>
      <c r="B40" s="3">
        <v>-4.9000000000014499</v>
      </c>
      <c r="C40">
        <v>61350</v>
      </c>
      <c r="D40">
        <v>171</v>
      </c>
      <c r="E40">
        <v>106500</v>
      </c>
      <c r="F40">
        <v>60900</v>
      </c>
      <c r="G40">
        <v>-2.95000000000072</v>
      </c>
      <c r="H40">
        <v>-6.1499999999978101</v>
      </c>
      <c r="I40">
        <v>45600</v>
      </c>
      <c r="J40">
        <v>-1043.19999999832</v>
      </c>
      <c r="K40">
        <v>27075</v>
      </c>
      <c r="L40">
        <v>8100</v>
      </c>
      <c r="M40" t="s">
        <v>20</v>
      </c>
      <c r="N40">
        <v>13725</v>
      </c>
      <c r="O40" t="s">
        <v>22</v>
      </c>
      <c r="P40">
        <v>23764.41</v>
      </c>
      <c r="Q40">
        <v>23720.15</v>
      </c>
      <c r="R40">
        <v>23715.25</v>
      </c>
      <c r="S40" s="3">
        <v>23720.15</v>
      </c>
      <c r="T40" s="3">
        <v>23700</v>
      </c>
      <c r="U40" s="3">
        <f t="shared" si="0"/>
        <v>4.9000000000014552</v>
      </c>
      <c r="V40" s="1">
        <v>45741.517361111109</v>
      </c>
      <c r="W40">
        <v>-1.9</v>
      </c>
      <c r="X40">
        <v>1519650</v>
      </c>
      <c r="Y40">
        <v>180</v>
      </c>
      <c r="Z40">
        <v>364125</v>
      </c>
      <c r="AA40">
        <v>374625</v>
      </c>
      <c r="AB40">
        <v>-1</v>
      </c>
      <c r="AC40">
        <v>-1</v>
      </c>
      <c r="AD40">
        <v>-10500</v>
      </c>
      <c r="AE40">
        <v>-68.500000000003595</v>
      </c>
      <c r="AF40">
        <v>42525</v>
      </c>
      <c r="AG40">
        <v>108450</v>
      </c>
      <c r="AH40" t="s">
        <v>21</v>
      </c>
      <c r="AI40">
        <v>62325</v>
      </c>
      <c r="AJ40" t="s">
        <v>22</v>
      </c>
      <c r="AK40">
        <v>83.7</v>
      </c>
      <c r="AL40">
        <v>81.8</v>
      </c>
      <c r="AM40">
        <v>83.7</v>
      </c>
      <c r="AN40">
        <v>76.3</v>
      </c>
      <c r="AO40">
        <v>120.2</v>
      </c>
      <c r="AP40" s="1">
        <v>45741.517361111109</v>
      </c>
      <c r="AQ40">
        <v>1.1000000000000201</v>
      </c>
      <c r="AR40">
        <v>755700</v>
      </c>
      <c r="AS40">
        <v>180</v>
      </c>
      <c r="AT40">
        <v>165900</v>
      </c>
      <c r="AU40">
        <v>186150</v>
      </c>
      <c r="AV40">
        <v>-0.200000000000017</v>
      </c>
      <c r="AW40">
        <v>-0.200000000000017</v>
      </c>
      <c r="AX40">
        <v>-20250</v>
      </c>
      <c r="AY40">
        <v>-131.150000000001</v>
      </c>
      <c r="AZ40">
        <v>38850</v>
      </c>
      <c r="BA40">
        <v>-11025</v>
      </c>
      <c r="BB40" t="s">
        <v>22</v>
      </c>
      <c r="BC40">
        <v>22875</v>
      </c>
      <c r="BD40" t="s">
        <v>20</v>
      </c>
      <c r="BE40">
        <v>159.69999999999999</v>
      </c>
      <c r="BF40">
        <v>160.80000000000001</v>
      </c>
      <c r="BG40">
        <v>174</v>
      </c>
      <c r="BH40">
        <v>159.69999999999999</v>
      </c>
      <c r="BI40">
        <v>144.02000000000001</v>
      </c>
      <c r="BJ40" s="1">
        <v>45741.517361111109</v>
      </c>
      <c r="BK40">
        <v>1742885700</v>
      </c>
      <c r="BL40" s="3">
        <f t="shared" si="1"/>
        <v>0.12999999999999901</v>
      </c>
      <c r="BM40" s="3">
        <f t="shared" si="2"/>
        <v>2.6448863636370872E-2</v>
      </c>
      <c r="BN40" s="3">
        <f t="shared" si="3"/>
        <v>1</v>
      </c>
      <c r="BO40" s="3">
        <v>14.01</v>
      </c>
      <c r="BP40" s="3">
        <v>14.02</v>
      </c>
      <c r="BQ40" s="3">
        <v>13.88</v>
      </c>
      <c r="BR40" s="3">
        <v>13.88</v>
      </c>
      <c r="BS40" s="3">
        <v>0</v>
      </c>
    </row>
    <row r="41" spans="1:71" x14ac:dyDescent="0.25">
      <c r="A41" s="1">
        <v>45741.520833333336</v>
      </c>
      <c r="B41">
        <v>-9.4500000000007205</v>
      </c>
      <c r="C41">
        <v>49875</v>
      </c>
      <c r="D41">
        <v>169</v>
      </c>
      <c r="E41">
        <v>108150</v>
      </c>
      <c r="F41">
        <v>40425</v>
      </c>
      <c r="G41">
        <v>-8.2999999999992706</v>
      </c>
      <c r="H41">
        <v>-6.5999999999985404</v>
      </c>
      <c r="I41">
        <v>67725</v>
      </c>
      <c r="J41">
        <v>-852.34999999962702</v>
      </c>
      <c r="K41">
        <v>25350</v>
      </c>
      <c r="L41">
        <v>-28425</v>
      </c>
      <c r="M41" t="s">
        <v>22</v>
      </c>
      <c r="N41">
        <v>21375</v>
      </c>
      <c r="O41" t="s">
        <v>20</v>
      </c>
      <c r="P41">
        <v>23764.03</v>
      </c>
      <c r="Q41">
        <v>23715.25</v>
      </c>
      <c r="R41">
        <v>23705.8</v>
      </c>
      <c r="S41">
        <v>23731.9</v>
      </c>
      <c r="T41">
        <v>23705.4</v>
      </c>
      <c r="U41">
        <f t="shared" si="0"/>
        <v>9.4500000000007276</v>
      </c>
      <c r="V41" s="1">
        <v>45741.520833333336</v>
      </c>
      <c r="W41">
        <v>-4.1500000000000004</v>
      </c>
      <c r="X41">
        <v>2009400</v>
      </c>
      <c r="Y41">
        <v>180</v>
      </c>
      <c r="Z41">
        <v>319575</v>
      </c>
      <c r="AA41">
        <v>401025</v>
      </c>
      <c r="AB41">
        <v>-4.7</v>
      </c>
      <c r="AC41">
        <v>-4.7</v>
      </c>
      <c r="AD41">
        <v>-81450</v>
      </c>
      <c r="AE41">
        <v>-64.650000000001398</v>
      </c>
      <c r="AF41">
        <v>41550</v>
      </c>
      <c r="AG41">
        <v>-56550</v>
      </c>
      <c r="AH41" t="s">
        <v>22</v>
      </c>
      <c r="AI41">
        <v>58350</v>
      </c>
      <c r="AJ41" t="s">
        <v>20</v>
      </c>
      <c r="AK41">
        <v>81.7</v>
      </c>
      <c r="AL41">
        <v>77.55</v>
      </c>
      <c r="AM41">
        <v>87.25</v>
      </c>
      <c r="AN41">
        <v>77.150000000000006</v>
      </c>
      <c r="AO41">
        <v>119.74</v>
      </c>
      <c r="AP41" s="1">
        <v>45741.520833333336</v>
      </c>
      <c r="AQ41">
        <v>6.3000000000000096</v>
      </c>
      <c r="AR41">
        <v>914850</v>
      </c>
      <c r="AS41">
        <v>180</v>
      </c>
      <c r="AT41">
        <v>184650</v>
      </c>
      <c r="AU41">
        <v>191025</v>
      </c>
      <c r="AV41">
        <v>7</v>
      </c>
      <c r="AW41">
        <v>7.0499999999999803</v>
      </c>
      <c r="AX41">
        <v>-6375</v>
      </c>
      <c r="AY41">
        <v>-125.00000000000701</v>
      </c>
      <c r="AZ41">
        <v>46275</v>
      </c>
      <c r="BA41">
        <v>23700</v>
      </c>
      <c r="BB41" t="s">
        <v>22</v>
      </c>
      <c r="BC41">
        <v>-19575</v>
      </c>
      <c r="BD41" t="s">
        <v>22</v>
      </c>
      <c r="BE41">
        <v>160.69999999999999</v>
      </c>
      <c r="BF41">
        <v>167</v>
      </c>
      <c r="BG41">
        <v>167.95</v>
      </c>
      <c r="BH41">
        <v>150.05000000000001</v>
      </c>
      <c r="BI41">
        <v>144.13</v>
      </c>
      <c r="BJ41" s="1">
        <v>45741.520833333336</v>
      </c>
      <c r="BK41">
        <v>1742886000</v>
      </c>
      <c r="BL41">
        <f t="shared" si="1"/>
        <v>2.9999999999999361E-2</v>
      </c>
      <c r="BM41">
        <f t="shared" si="2"/>
        <v>5.1008522727275463E-2</v>
      </c>
      <c r="BN41" s="3">
        <f t="shared" si="3"/>
        <v>-1</v>
      </c>
      <c r="BO41">
        <v>13.89</v>
      </c>
      <c r="BP41">
        <v>13.92</v>
      </c>
      <c r="BQ41">
        <v>13.82</v>
      </c>
      <c r="BR41">
        <v>13.92</v>
      </c>
      <c r="BS41">
        <v>0</v>
      </c>
    </row>
    <row r="42" spans="1:71" x14ac:dyDescent="0.25">
      <c r="A42" s="1">
        <v>45741.524305555555</v>
      </c>
      <c r="B42">
        <v>23.549999999999201</v>
      </c>
      <c r="C42">
        <v>50400</v>
      </c>
      <c r="D42">
        <v>165</v>
      </c>
      <c r="E42">
        <v>118950</v>
      </c>
      <c r="F42">
        <v>72750</v>
      </c>
      <c r="G42">
        <v>27.549999999999201</v>
      </c>
      <c r="H42">
        <v>24.5</v>
      </c>
      <c r="I42">
        <v>46200</v>
      </c>
      <c r="J42">
        <v>-894.20000000111702</v>
      </c>
      <c r="K42">
        <v>26925</v>
      </c>
      <c r="L42">
        <v>35325</v>
      </c>
      <c r="M42" t="s">
        <v>21</v>
      </c>
      <c r="N42">
        <v>9075</v>
      </c>
      <c r="O42" t="s">
        <v>20</v>
      </c>
      <c r="P42">
        <v>23763.62</v>
      </c>
      <c r="Q42">
        <v>23709</v>
      </c>
      <c r="R42">
        <v>23732.55</v>
      </c>
      <c r="S42">
        <v>23734</v>
      </c>
      <c r="T42">
        <v>23700.5</v>
      </c>
      <c r="U42">
        <f t="shared" si="0"/>
        <v>23.549999999999272</v>
      </c>
      <c r="V42" s="1">
        <v>45741.524305555555</v>
      </c>
      <c r="W42">
        <v>8.0499999999999901</v>
      </c>
      <c r="X42">
        <v>1679325</v>
      </c>
      <c r="Y42">
        <v>180</v>
      </c>
      <c r="Z42">
        <v>385800</v>
      </c>
      <c r="AA42">
        <v>407325</v>
      </c>
      <c r="AB42">
        <v>8.4499999999999993</v>
      </c>
      <c r="AC42">
        <v>8.5</v>
      </c>
      <c r="AD42">
        <v>-21525</v>
      </c>
      <c r="AE42">
        <v>-69.099999999998502</v>
      </c>
      <c r="AF42">
        <v>43725</v>
      </c>
      <c r="AG42">
        <v>48300</v>
      </c>
      <c r="AH42" t="s">
        <v>21</v>
      </c>
      <c r="AI42">
        <v>-70050</v>
      </c>
      <c r="AJ42" t="s">
        <v>21</v>
      </c>
      <c r="AK42">
        <v>77.650000000000006</v>
      </c>
      <c r="AL42">
        <v>85.7</v>
      </c>
      <c r="AM42">
        <v>86.7</v>
      </c>
      <c r="AN42">
        <v>75.7</v>
      </c>
      <c r="AO42">
        <v>119.36</v>
      </c>
      <c r="AP42" s="1">
        <v>45741.524305555555</v>
      </c>
      <c r="AQ42">
        <v>-17.649999999999899</v>
      </c>
      <c r="AR42">
        <v>877050</v>
      </c>
      <c r="AS42">
        <v>180</v>
      </c>
      <c r="AT42">
        <v>166425</v>
      </c>
      <c r="AU42">
        <v>196425</v>
      </c>
      <c r="AV42">
        <v>-17.849999999999898</v>
      </c>
      <c r="AW42">
        <v>-17.899999999999999</v>
      </c>
      <c r="AX42">
        <v>-30000</v>
      </c>
      <c r="AY42">
        <v>-130.74999999999201</v>
      </c>
      <c r="AZ42">
        <v>41925</v>
      </c>
      <c r="BA42">
        <v>-19125</v>
      </c>
      <c r="BB42" t="s">
        <v>21</v>
      </c>
      <c r="BC42">
        <v>28575</v>
      </c>
      <c r="BD42" t="s">
        <v>21</v>
      </c>
      <c r="BE42">
        <v>166.7</v>
      </c>
      <c r="BF42">
        <v>149.05000000000001</v>
      </c>
      <c r="BG42">
        <v>170.95</v>
      </c>
      <c r="BH42">
        <v>148.75</v>
      </c>
      <c r="BI42">
        <v>144.26</v>
      </c>
      <c r="BJ42" s="1">
        <v>45741.524305555555</v>
      </c>
      <c r="BK42">
        <v>1742886300</v>
      </c>
      <c r="BL42">
        <f t="shared" si="1"/>
        <v>5.0000000000000711E-2</v>
      </c>
      <c r="BM42">
        <f t="shared" si="2"/>
        <v>0.12711647727272038</v>
      </c>
      <c r="BN42" s="3">
        <f t="shared" si="3"/>
        <v>-1</v>
      </c>
      <c r="BO42">
        <v>13.92</v>
      </c>
      <c r="BP42">
        <v>13.94</v>
      </c>
      <c r="BQ42">
        <v>13.87</v>
      </c>
      <c r="BR42">
        <v>13.87</v>
      </c>
      <c r="BS42">
        <v>0</v>
      </c>
    </row>
    <row r="43" spans="1:71" x14ac:dyDescent="0.25">
      <c r="A43" s="1">
        <v>45741.527777777781</v>
      </c>
      <c r="B43">
        <v>7.4500000000007196</v>
      </c>
      <c r="C43">
        <v>81750</v>
      </c>
      <c r="D43">
        <v>127</v>
      </c>
      <c r="E43">
        <v>81675</v>
      </c>
      <c r="F43">
        <v>29850</v>
      </c>
      <c r="G43">
        <v>4.8499999999985404</v>
      </c>
      <c r="H43">
        <v>3.70000000000072</v>
      </c>
      <c r="I43">
        <v>51825</v>
      </c>
      <c r="J43">
        <v>-919.75000000093098</v>
      </c>
      <c r="K43">
        <v>22725</v>
      </c>
      <c r="L43">
        <v>525</v>
      </c>
      <c r="M43" t="s">
        <v>22</v>
      </c>
      <c r="N43">
        <v>-2625</v>
      </c>
      <c r="O43" t="s">
        <v>21</v>
      </c>
      <c r="P43">
        <v>23763.08</v>
      </c>
      <c r="Q43">
        <v>23732.55</v>
      </c>
      <c r="R43">
        <v>23740</v>
      </c>
      <c r="S43">
        <v>23744.35</v>
      </c>
      <c r="T43">
        <v>23716.05</v>
      </c>
      <c r="U43">
        <f t="shared" si="0"/>
        <v>7.4500000000007276</v>
      </c>
      <c r="V43" s="1">
        <v>45741.527777777781</v>
      </c>
      <c r="W43">
        <v>4.9999999999997102E-2</v>
      </c>
      <c r="X43">
        <v>1841175</v>
      </c>
      <c r="Y43">
        <v>181</v>
      </c>
      <c r="Z43">
        <v>397575</v>
      </c>
      <c r="AA43">
        <v>459000</v>
      </c>
      <c r="AB43">
        <v>0.59999999999999398</v>
      </c>
      <c r="AC43">
        <v>0.60000000000000797</v>
      </c>
      <c r="AD43">
        <v>-61425</v>
      </c>
      <c r="AE43">
        <v>-66.200000000004295</v>
      </c>
      <c r="AF43">
        <v>44475</v>
      </c>
      <c r="AG43">
        <v>39750</v>
      </c>
      <c r="AH43" t="s">
        <v>20</v>
      </c>
      <c r="AI43">
        <v>-6675</v>
      </c>
      <c r="AJ43" t="s">
        <v>22</v>
      </c>
      <c r="AK43">
        <v>86.25</v>
      </c>
      <c r="AL43">
        <v>86.3</v>
      </c>
      <c r="AM43">
        <v>88.3</v>
      </c>
      <c r="AN43">
        <v>77.55</v>
      </c>
      <c r="AO43">
        <v>118.96</v>
      </c>
      <c r="AP43" s="1">
        <v>45741.527777777781</v>
      </c>
      <c r="AQ43">
        <v>-2.1499999999999702</v>
      </c>
      <c r="AR43">
        <v>679425</v>
      </c>
      <c r="AS43">
        <v>181</v>
      </c>
      <c r="AT43">
        <v>156375</v>
      </c>
      <c r="AU43">
        <v>197025</v>
      </c>
      <c r="AV43">
        <v>-3</v>
      </c>
      <c r="AW43">
        <v>-3.05000000000001</v>
      </c>
      <c r="AX43">
        <v>-40650</v>
      </c>
      <c r="AY43">
        <v>-117.00000000000701</v>
      </c>
      <c r="AZ43">
        <v>43800</v>
      </c>
      <c r="BA43">
        <v>10725</v>
      </c>
      <c r="BB43" t="s">
        <v>22</v>
      </c>
      <c r="BC43">
        <v>22425</v>
      </c>
      <c r="BD43" t="s">
        <v>20</v>
      </c>
      <c r="BE43">
        <v>148.69999999999999</v>
      </c>
      <c r="BF43">
        <v>146.55000000000001</v>
      </c>
      <c r="BG43">
        <v>159.25</v>
      </c>
      <c r="BH43">
        <v>143.65</v>
      </c>
      <c r="BI43">
        <v>144.31</v>
      </c>
      <c r="BJ43" s="1">
        <v>45741.527777777781</v>
      </c>
      <c r="BK43">
        <v>1742886600</v>
      </c>
      <c r="BL43">
        <f t="shared" si="1"/>
        <v>1.9999999999999574E-2</v>
      </c>
      <c r="BM43">
        <f t="shared" si="2"/>
        <v>4.0213068181821167E-2</v>
      </c>
      <c r="BN43" s="3">
        <f t="shared" si="3"/>
        <v>-1</v>
      </c>
      <c r="BO43">
        <v>13.87</v>
      </c>
      <c r="BP43">
        <v>13.92</v>
      </c>
      <c r="BQ43">
        <v>13.82</v>
      </c>
      <c r="BR43">
        <v>13.85</v>
      </c>
      <c r="BS43">
        <v>0</v>
      </c>
    </row>
    <row r="44" spans="1:71" x14ac:dyDescent="0.25">
      <c r="A44" s="1">
        <v>45741.53125</v>
      </c>
      <c r="B44">
        <v>7.25</v>
      </c>
      <c r="C44">
        <v>39000</v>
      </c>
      <c r="D44">
        <v>123</v>
      </c>
      <c r="E44">
        <v>51150</v>
      </c>
      <c r="F44">
        <v>41475</v>
      </c>
      <c r="G44">
        <v>4</v>
      </c>
      <c r="H44">
        <v>4.5</v>
      </c>
      <c r="I44">
        <v>9675</v>
      </c>
      <c r="J44">
        <v>-753.55000000074494</v>
      </c>
      <c r="K44">
        <v>22125</v>
      </c>
      <c r="L44">
        <v>600</v>
      </c>
      <c r="M44" t="s">
        <v>20</v>
      </c>
      <c r="N44">
        <v>-17100</v>
      </c>
      <c r="O44" t="s">
        <v>21</v>
      </c>
      <c r="P44">
        <v>23762.91</v>
      </c>
      <c r="Q44">
        <v>23740</v>
      </c>
      <c r="R44">
        <v>23747.25</v>
      </c>
      <c r="S44">
        <v>23747.25</v>
      </c>
      <c r="T44">
        <v>23724.95</v>
      </c>
      <c r="U44">
        <f t="shared" si="0"/>
        <v>7.25</v>
      </c>
      <c r="V44" s="1">
        <v>45741.53125</v>
      </c>
      <c r="W44">
        <v>1.65</v>
      </c>
      <c r="X44">
        <v>1915050</v>
      </c>
      <c r="Y44">
        <v>179</v>
      </c>
      <c r="Z44">
        <v>321075</v>
      </c>
      <c r="AA44">
        <v>335550</v>
      </c>
      <c r="AB44">
        <v>1.5999999999999901</v>
      </c>
      <c r="AC44">
        <v>1.7</v>
      </c>
      <c r="AD44">
        <v>-14475</v>
      </c>
      <c r="AE44">
        <v>-69.200000000004295</v>
      </c>
      <c r="AF44">
        <v>42750</v>
      </c>
      <c r="AG44">
        <v>50250</v>
      </c>
      <c r="AH44" t="s">
        <v>20</v>
      </c>
      <c r="AI44">
        <v>-18450</v>
      </c>
      <c r="AJ44" t="s">
        <v>21</v>
      </c>
      <c r="AK44">
        <v>86.6</v>
      </c>
      <c r="AL44">
        <v>88.25</v>
      </c>
      <c r="AM44">
        <v>90.9</v>
      </c>
      <c r="AN44">
        <v>81.900000000000006</v>
      </c>
      <c r="AO44">
        <v>118.6</v>
      </c>
      <c r="AP44" s="1">
        <v>45741.53125</v>
      </c>
      <c r="AQ44">
        <v>-3.3499999999999899</v>
      </c>
      <c r="AR44">
        <v>772350</v>
      </c>
      <c r="AS44">
        <v>179</v>
      </c>
      <c r="AT44">
        <v>173475</v>
      </c>
      <c r="AU44">
        <v>206700</v>
      </c>
      <c r="AV44">
        <v>-3.5999999999999899</v>
      </c>
      <c r="AW44">
        <v>-3.65</v>
      </c>
      <c r="AX44">
        <v>-33225</v>
      </c>
      <c r="AY44">
        <v>-103.200000000011</v>
      </c>
      <c r="AZ44">
        <v>38925</v>
      </c>
      <c r="BA44">
        <v>-12375</v>
      </c>
      <c r="BB44" t="s">
        <v>21</v>
      </c>
      <c r="BC44">
        <v>15675</v>
      </c>
      <c r="BD44" t="s">
        <v>20</v>
      </c>
      <c r="BE44">
        <v>146.15</v>
      </c>
      <c r="BF44">
        <v>142.80000000000001</v>
      </c>
      <c r="BG44">
        <v>152.44999999999999</v>
      </c>
      <c r="BH44">
        <v>138.9</v>
      </c>
      <c r="BI44">
        <v>144.31</v>
      </c>
      <c r="BJ44" s="1">
        <v>45741.53125</v>
      </c>
      <c r="BK44">
        <v>1742886900</v>
      </c>
      <c r="BL44">
        <f t="shared" si="1"/>
        <v>0</v>
      </c>
      <c r="BM44">
        <f t="shared" si="2"/>
        <v>3.9133522727271816E-2</v>
      </c>
      <c r="BN44" s="3">
        <f t="shared" si="3"/>
        <v>-1</v>
      </c>
      <c r="BO44">
        <v>13.85</v>
      </c>
      <c r="BP44">
        <v>13.88</v>
      </c>
      <c r="BQ44">
        <v>13.83</v>
      </c>
      <c r="BR44">
        <v>13.85</v>
      </c>
      <c r="BS44">
        <v>0</v>
      </c>
    </row>
    <row r="45" spans="1:71" x14ac:dyDescent="0.25">
      <c r="A45" s="1">
        <v>45741.534722222219</v>
      </c>
      <c r="B45">
        <v>-22</v>
      </c>
      <c r="C45">
        <v>56025</v>
      </c>
      <c r="D45">
        <v>137</v>
      </c>
      <c r="E45">
        <v>67275</v>
      </c>
      <c r="F45">
        <v>47625</v>
      </c>
      <c r="G45">
        <v>-12.75</v>
      </c>
      <c r="H45">
        <v>-15.9000000000014</v>
      </c>
      <c r="I45">
        <v>19650</v>
      </c>
      <c r="J45">
        <v>-638.45000000018604</v>
      </c>
      <c r="K45">
        <v>25350</v>
      </c>
      <c r="L45">
        <v>26550</v>
      </c>
      <c r="M45" t="s">
        <v>21</v>
      </c>
      <c r="N45">
        <v>-3900</v>
      </c>
      <c r="O45" t="s">
        <v>20</v>
      </c>
      <c r="P45">
        <v>23762.62</v>
      </c>
      <c r="Q45">
        <v>23747.25</v>
      </c>
      <c r="R45">
        <v>23725.25</v>
      </c>
      <c r="S45">
        <v>23748.95</v>
      </c>
      <c r="T45">
        <v>23720.1</v>
      </c>
      <c r="U45">
        <f t="shared" si="0"/>
        <v>22</v>
      </c>
      <c r="V45" s="1">
        <v>45741.534722222219</v>
      </c>
      <c r="W45">
        <v>-5.85</v>
      </c>
      <c r="X45">
        <v>1684050</v>
      </c>
      <c r="Y45">
        <v>181</v>
      </c>
      <c r="Z45">
        <v>382800</v>
      </c>
      <c r="AA45">
        <v>352125</v>
      </c>
      <c r="AB45">
        <v>-5.8499999999999899</v>
      </c>
      <c r="AC45">
        <v>-5.7999999999999901</v>
      </c>
      <c r="AD45">
        <v>30675</v>
      </c>
      <c r="AE45">
        <v>-70.550000000002896</v>
      </c>
      <c r="AF45">
        <v>46425</v>
      </c>
      <c r="AG45">
        <v>-57225</v>
      </c>
      <c r="AH45" t="s">
        <v>22</v>
      </c>
      <c r="AI45">
        <v>84375</v>
      </c>
      <c r="AJ45" t="s">
        <v>22</v>
      </c>
      <c r="AK45">
        <v>87.45</v>
      </c>
      <c r="AL45">
        <v>81.599999999999994</v>
      </c>
      <c r="AM45">
        <v>89.9</v>
      </c>
      <c r="AN45">
        <v>79.25</v>
      </c>
      <c r="AO45">
        <v>118.27</v>
      </c>
      <c r="AP45" s="1">
        <v>45741.534722222219</v>
      </c>
      <c r="AQ45">
        <v>8</v>
      </c>
      <c r="AR45">
        <v>702975</v>
      </c>
      <c r="AS45">
        <v>181</v>
      </c>
      <c r="AT45">
        <v>189225</v>
      </c>
      <c r="AU45">
        <v>189600</v>
      </c>
      <c r="AV45">
        <v>7.9</v>
      </c>
      <c r="AW45">
        <v>7.8499999999999899</v>
      </c>
      <c r="AX45">
        <v>-375</v>
      </c>
      <c r="AY45">
        <v>-113.199999999997</v>
      </c>
      <c r="AZ45">
        <v>42000</v>
      </c>
      <c r="BA45">
        <v>19575</v>
      </c>
      <c r="BB45" t="s">
        <v>22</v>
      </c>
      <c r="BC45">
        <v>-21975</v>
      </c>
      <c r="BD45" t="s">
        <v>22</v>
      </c>
      <c r="BE45">
        <v>143.85</v>
      </c>
      <c r="BF45">
        <v>151.85</v>
      </c>
      <c r="BG45">
        <v>155.94999999999999</v>
      </c>
      <c r="BH45">
        <v>140.65</v>
      </c>
      <c r="BI45">
        <v>144.34</v>
      </c>
      <c r="BJ45" s="1">
        <v>45741.534722222219</v>
      </c>
      <c r="BK45">
        <v>1742887200</v>
      </c>
      <c r="BL45">
        <f t="shared" si="1"/>
        <v>9.9999999999997868E-3</v>
      </c>
      <c r="BM45">
        <f t="shared" si="2"/>
        <v>0.11874999999999723</v>
      </c>
      <c r="BN45" s="3">
        <f t="shared" si="3"/>
        <v>-1</v>
      </c>
      <c r="BO45">
        <v>13.84</v>
      </c>
      <c r="BP45">
        <v>13.9</v>
      </c>
      <c r="BQ45">
        <v>13.83</v>
      </c>
      <c r="BR45">
        <v>13.85</v>
      </c>
      <c r="BS45">
        <v>0</v>
      </c>
    </row>
    <row r="46" spans="1:71" s="3" customFormat="1" x14ac:dyDescent="0.25">
      <c r="A46" s="2">
        <v>45741.538194444445</v>
      </c>
      <c r="B46" s="3">
        <v>1.29999999999927</v>
      </c>
      <c r="C46">
        <v>54900</v>
      </c>
      <c r="D46">
        <v>135</v>
      </c>
      <c r="E46">
        <v>51525</v>
      </c>
      <c r="F46">
        <v>166875</v>
      </c>
      <c r="G46">
        <v>3.1500000000014499</v>
      </c>
      <c r="H46">
        <v>3.1999999999970798</v>
      </c>
      <c r="I46">
        <v>-115350</v>
      </c>
      <c r="J46">
        <v>-468.100000000558</v>
      </c>
      <c r="K46">
        <v>27075</v>
      </c>
      <c r="L46">
        <v>15900</v>
      </c>
      <c r="M46" t="s">
        <v>20</v>
      </c>
      <c r="N46">
        <v>-6150</v>
      </c>
      <c r="O46" t="s">
        <v>21</v>
      </c>
      <c r="P46">
        <v>23762.32</v>
      </c>
      <c r="Q46">
        <v>23725.25</v>
      </c>
      <c r="R46">
        <v>23726.55</v>
      </c>
      <c r="S46" s="3">
        <v>23738.1</v>
      </c>
      <c r="T46" s="3">
        <v>23720</v>
      </c>
      <c r="U46" s="3">
        <f t="shared" si="0"/>
        <v>1.2999999999992724</v>
      </c>
      <c r="V46" s="1">
        <v>45741.538194444445</v>
      </c>
      <c r="W46">
        <v>0.15000000000000499</v>
      </c>
      <c r="X46">
        <v>1239000</v>
      </c>
      <c r="Y46">
        <v>180</v>
      </c>
      <c r="Z46">
        <v>343575</v>
      </c>
      <c r="AA46">
        <v>285300</v>
      </c>
      <c r="AB46">
        <v>9.9999999999994302E-2</v>
      </c>
      <c r="AC46">
        <v>5.0000000000011299E-2</v>
      </c>
      <c r="AD46">
        <v>58275</v>
      </c>
      <c r="AE46">
        <v>-61.150000000001398</v>
      </c>
      <c r="AF46">
        <v>43350</v>
      </c>
      <c r="AG46">
        <v>450</v>
      </c>
      <c r="AH46" t="s">
        <v>21</v>
      </c>
      <c r="AI46">
        <v>13425</v>
      </c>
      <c r="AJ46" t="s">
        <v>20</v>
      </c>
      <c r="AK46">
        <v>81.599999999999994</v>
      </c>
      <c r="AL46">
        <v>81.75</v>
      </c>
      <c r="AM46">
        <v>85.55</v>
      </c>
      <c r="AN46">
        <v>79.2</v>
      </c>
      <c r="AO46">
        <v>118.01</v>
      </c>
      <c r="AP46" s="1">
        <v>45741.538194444445</v>
      </c>
      <c r="AQ46">
        <v>-1.9500000000000099</v>
      </c>
      <c r="AR46">
        <v>714825</v>
      </c>
      <c r="AS46">
        <v>180</v>
      </c>
      <c r="AT46">
        <v>170400</v>
      </c>
      <c r="AU46">
        <v>166950</v>
      </c>
      <c r="AV46">
        <v>-1.65</v>
      </c>
      <c r="AW46">
        <v>-1.65</v>
      </c>
      <c r="AX46">
        <v>3450</v>
      </c>
      <c r="AY46">
        <v>-110.64999999999399</v>
      </c>
      <c r="AZ46">
        <v>41775</v>
      </c>
      <c r="BA46">
        <v>-825</v>
      </c>
      <c r="BB46" t="s">
        <v>21</v>
      </c>
      <c r="BC46">
        <v>13050</v>
      </c>
      <c r="BD46" t="s">
        <v>21</v>
      </c>
      <c r="BE46">
        <v>152.30000000000001</v>
      </c>
      <c r="BF46">
        <v>150.35</v>
      </c>
      <c r="BG46">
        <v>156</v>
      </c>
      <c r="BH46">
        <v>145.35</v>
      </c>
      <c r="BI46">
        <v>144.38</v>
      </c>
      <c r="BJ46" s="1">
        <v>45741.538194444445</v>
      </c>
      <c r="BK46">
        <v>1742887500</v>
      </c>
      <c r="BL46" s="3">
        <f t="shared" si="1"/>
        <v>9.9999999999997868E-3</v>
      </c>
      <c r="BM46" s="3">
        <f t="shared" si="2"/>
        <v>7.0170454545413633E-3</v>
      </c>
      <c r="BN46" s="3">
        <f t="shared" si="3"/>
        <v>1</v>
      </c>
      <c r="BO46" s="3">
        <v>13.84</v>
      </c>
      <c r="BP46" s="3">
        <v>13.87</v>
      </c>
      <c r="BQ46" s="3">
        <v>13.8</v>
      </c>
      <c r="BR46" s="3">
        <v>13.83</v>
      </c>
      <c r="BS46" s="3">
        <v>0</v>
      </c>
    </row>
    <row r="47" spans="1:71" x14ac:dyDescent="0.25">
      <c r="A47" s="1">
        <v>45741.541666666664</v>
      </c>
      <c r="B47">
        <v>-8.5499999999992706</v>
      </c>
      <c r="C47">
        <v>61350</v>
      </c>
      <c r="D47">
        <v>172</v>
      </c>
      <c r="E47">
        <v>85800</v>
      </c>
      <c r="F47">
        <v>45675</v>
      </c>
      <c r="G47">
        <v>-9.0499999999992706</v>
      </c>
      <c r="H47">
        <v>-3.9499999999970798</v>
      </c>
      <c r="I47">
        <v>40125</v>
      </c>
      <c r="J47">
        <v>-1360.00000000093</v>
      </c>
      <c r="K47">
        <v>27150</v>
      </c>
      <c r="L47">
        <v>-4950</v>
      </c>
      <c r="M47" t="s">
        <v>22</v>
      </c>
      <c r="N47">
        <v>8175</v>
      </c>
      <c r="O47" t="s">
        <v>20</v>
      </c>
      <c r="P47">
        <v>23761.919999999998</v>
      </c>
      <c r="Q47">
        <v>23726.55</v>
      </c>
      <c r="R47">
        <v>23718</v>
      </c>
      <c r="S47">
        <v>23736.799999999999</v>
      </c>
      <c r="T47">
        <v>23712.2</v>
      </c>
      <c r="U47">
        <f t="shared" si="0"/>
        <v>8.5499999999992724</v>
      </c>
      <c r="V47" s="1">
        <v>45741.541666666664</v>
      </c>
      <c r="W47">
        <v>-2.8499999999999899</v>
      </c>
      <c r="X47">
        <v>1361925</v>
      </c>
      <c r="Y47">
        <v>180</v>
      </c>
      <c r="Z47">
        <v>325725</v>
      </c>
      <c r="AA47">
        <v>295725</v>
      </c>
      <c r="AB47">
        <v>-2.3999999999999901</v>
      </c>
      <c r="AC47">
        <v>-2.35</v>
      </c>
      <c r="AD47">
        <v>30000</v>
      </c>
      <c r="AE47">
        <v>-62.349999999998502</v>
      </c>
      <c r="AF47">
        <v>42225</v>
      </c>
      <c r="AG47">
        <v>34800</v>
      </c>
      <c r="AH47" t="s">
        <v>21</v>
      </c>
      <c r="AI47">
        <v>35475</v>
      </c>
      <c r="AJ47" t="s">
        <v>22</v>
      </c>
      <c r="AK47">
        <v>81.5</v>
      </c>
      <c r="AL47">
        <v>78.650000000000006</v>
      </c>
      <c r="AM47">
        <v>84.7</v>
      </c>
      <c r="AN47">
        <v>76.2</v>
      </c>
      <c r="AO47">
        <v>117.71</v>
      </c>
      <c r="AP47" s="1">
        <v>45741.541666666664</v>
      </c>
      <c r="AQ47">
        <v>5.75</v>
      </c>
      <c r="AR47">
        <v>787800</v>
      </c>
      <c r="AS47">
        <v>179</v>
      </c>
      <c r="AT47">
        <v>201000</v>
      </c>
      <c r="AU47">
        <v>195975</v>
      </c>
      <c r="AV47">
        <v>4.7999999999999803</v>
      </c>
      <c r="AW47">
        <v>4.8999999999999702</v>
      </c>
      <c r="AX47">
        <v>5025</v>
      </c>
      <c r="AY47">
        <v>-116.599999999998</v>
      </c>
      <c r="AZ47">
        <v>39375</v>
      </c>
      <c r="BA47">
        <v>2400</v>
      </c>
      <c r="BB47" t="s">
        <v>20</v>
      </c>
      <c r="BC47">
        <v>-1500</v>
      </c>
      <c r="BD47" t="s">
        <v>22</v>
      </c>
      <c r="BE47">
        <v>150</v>
      </c>
      <c r="BF47">
        <v>155.75</v>
      </c>
      <c r="BG47">
        <v>159.30000000000001</v>
      </c>
      <c r="BH47">
        <v>144.80000000000001</v>
      </c>
      <c r="BI47">
        <v>144.44</v>
      </c>
      <c r="BJ47" s="1">
        <v>45741.541666666664</v>
      </c>
      <c r="BK47">
        <v>1742887800</v>
      </c>
      <c r="BL47">
        <f t="shared" si="1"/>
        <v>1.9999999999999574E-2</v>
      </c>
      <c r="BM47">
        <f t="shared" si="2"/>
        <v>4.6150568181813172E-2</v>
      </c>
      <c r="BN47" s="3">
        <f t="shared" si="3"/>
        <v>-1</v>
      </c>
      <c r="BO47">
        <v>13.83</v>
      </c>
      <c r="BP47">
        <v>13.88</v>
      </c>
      <c r="BQ47">
        <v>13.81</v>
      </c>
      <c r="BR47">
        <v>13.85</v>
      </c>
      <c r="BS47">
        <v>0</v>
      </c>
    </row>
    <row r="48" spans="1:71" x14ac:dyDescent="0.25">
      <c r="A48" s="1">
        <v>45741.545138888891</v>
      </c>
      <c r="B48">
        <v>13.949999999997001</v>
      </c>
      <c r="C48">
        <v>61875</v>
      </c>
      <c r="D48">
        <v>160</v>
      </c>
      <c r="E48">
        <v>105375</v>
      </c>
      <c r="F48">
        <v>87450</v>
      </c>
      <c r="G48">
        <v>12.5499999999992</v>
      </c>
      <c r="H48">
        <v>8.7999999999992706</v>
      </c>
      <c r="I48">
        <v>17925</v>
      </c>
      <c r="J48">
        <v>-1035.8000000007401</v>
      </c>
      <c r="K48">
        <v>25200</v>
      </c>
      <c r="L48">
        <v>40800</v>
      </c>
      <c r="M48" t="s">
        <v>21</v>
      </c>
      <c r="N48">
        <v>-16125</v>
      </c>
      <c r="O48" t="s">
        <v>21</v>
      </c>
      <c r="P48">
        <v>23761.56</v>
      </c>
      <c r="Q48">
        <v>23718.400000000001</v>
      </c>
      <c r="R48">
        <v>23732.35</v>
      </c>
      <c r="S48">
        <v>23738.85</v>
      </c>
      <c r="T48">
        <v>23715</v>
      </c>
      <c r="U48">
        <f t="shared" si="0"/>
        <v>13.94999999999709</v>
      </c>
      <c r="V48" s="1">
        <v>45741.545138888891</v>
      </c>
      <c r="W48">
        <v>4.75</v>
      </c>
      <c r="X48">
        <v>1347825</v>
      </c>
      <c r="Y48">
        <v>181</v>
      </c>
      <c r="Z48">
        <v>289950</v>
      </c>
      <c r="AA48">
        <v>247575</v>
      </c>
      <c r="AB48">
        <v>4.2</v>
      </c>
      <c r="AC48">
        <v>4.25</v>
      </c>
      <c r="AD48">
        <v>42375</v>
      </c>
      <c r="AE48">
        <v>-59.900000000001398</v>
      </c>
      <c r="AF48">
        <v>38250</v>
      </c>
      <c r="AG48">
        <v>300</v>
      </c>
      <c r="AH48" t="s">
        <v>22</v>
      </c>
      <c r="AI48">
        <v>12075</v>
      </c>
      <c r="AJ48" t="s">
        <v>20</v>
      </c>
      <c r="AK48">
        <v>78.7</v>
      </c>
      <c r="AL48">
        <v>83.45</v>
      </c>
      <c r="AM48">
        <v>84.8</v>
      </c>
      <c r="AN48">
        <v>77.849999999999994</v>
      </c>
      <c r="AO48">
        <v>117.43</v>
      </c>
      <c r="AP48" s="1">
        <v>45741.545138888891</v>
      </c>
      <c r="AQ48">
        <v>-7.4499999999999797</v>
      </c>
      <c r="AR48">
        <v>853200</v>
      </c>
      <c r="AS48">
        <v>181</v>
      </c>
      <c r="AT48">
        <v>166800</v>
      </c>
      <c r="AU48">
        <v>260850</v>
      </c>
      <c r="AV48">
        <v>-6.5999999999999899</v>
      </c>
      <c r="AW48">
        <v>-6.6999999999999797</v>
      </c>
      <c r="AX48">
        <v>-94050</v>
      </c>
      <c r="AY48">
        <v>-122.90000000000801</v>
      </c>
      <c r="AZ48">
        <v>43200</v>
      </c>
      <c r="BA48">
        <v>20400</v>
      </c>
      <c r="BB48" t="s">
        <v>20</v>
      </c>
      <c r="BC48">
        <v>31725</v>
      </c>
      <c r="BD48" t="s">
        <v>21</v>
      </c>
      <c r="BE48">
        <v>155.6</v>
      </c>
      <c r="BF48">
        <v>148.15</v>
      </c>
      <c r="BG48">
        <v>159.05000000000001</v>
      </c>
      <c r="BH48">
        <v>145.75</v>
      </c>
      <c r="BI48">
        <v>144.49</v>
      </c>
      <c r="BJ48" s="1">
        <v>45741.545138888891</v>
      </c>
      <c r="BK48">
        <v>1742888100</v>
      </c>
      <c r="BL48">
        <f t="shared" si="1"/>
        <v>2.9999999999999361E-2</v>
      </c>
      <c r="BM48">
        <f t="shared" si="2"/>
        <v>7.5298295454527986E-2</v>
      </c>
      <c r="BN48" s="3">
        <f t="shared" si="3"/>
        <v>-1</v>
      </c>
      <c r="BO48">
        <v>13.86</v>
      </c>
      <c r="BP48">
        <v>13.88</v>
      </c>
      <c r="BQ48">
        <v>13.81</v>
      </c>
      <c r="BR48">
        <v>13.83</v>
      </c>
      <c r="BS48">
        <v>0</v>
      </c>
    </row>
    <row r="49" spans="1:71" x14ac:dyDescent="0.25">
      <c r="A49" s="1">
        <v>45741.548611111109</v>
      </c>
      <c r="B49">
        <v>-10.2999999999992</v>
      </c>
      <c r="C49">
        <v>64650</v>
      </c>
      <c r="D49">
        <v>122</v>
      </c>
      <c r="E49">
        <v>63225</v>
      </c>
      <c r="F49">
        <v>26700</v>
      </c>
      <c r="G49">
        <v>-10.450000000000699</v>
      </c>
      <c r="H49">
        <v>-10.100000000002099</v>
      </c>
      <c r="I49">
        <v>36525</v>
      </c>
      <c r="J49">
        <v>-769.75</v>
      </c>
      <c r="K49">
        <v>20100</v>
      </c>
      <c r="L49">
        <v>-3375</v>
      </c>
      <c r="M49" t="s">
        <v>22</v>
      </c>
      <c r="N49">
        <v>48525</v>
      </c>
      <c r="O49" t="s">
        <v>22</v>
      </c>
      <c r="P49">
        <v>23761.24</v>
      </c>
      <c r="Q49">
        <v>23732.35</v>
      </c>
      <c r="R49">
        <v>23722.05</v>
      </c>
      <c r="S49">
        <v>23738.9</v>
      </c>
      <c r="T49">
        <v>23721.95</v>
      </c>
      <c r="U49">
        <f t="shared" si="0"/>
        <v>10.299999999999272</v>
      </c>
      <c r="V49" s="1">
        <v>45741.548611111109</v>
      </c>
      <c r="W49">
        <v>-5.0499999999999901</v>
      </c>
      <c r="X49">
        <v>1023750</v>
      </c>
      <c r="Y49">
        <v>181</v>
      </c>
      <c r="Z49">
        <v>292875</v>
      </c>
      <c r="AA49">
        <v>280350</v>
      </c>
      <c r="AB49">
        <v>-5</v>
      </c>
      <c r="AC49">
        <v>-5.0999999999999899</v>
      </c>
      <c r="AD49">
        <v>12525</v>
      </c>
      <c r="AE49">
        <v>-60.100000000005799</v>
      </c>
      <c r="AF49">
        <v>41475</v>
      </c>
      <c r="AG49">
        <v>-42150</v>
      </c>
      <c r="AH49" t="s">
        <v>22</v>
      </c>
      <c r="AI49">
        <v>41400</v>
      </c>
      <c r="AJ49" t="s">
        <v>22</v>
      </c>
      <c r="AK49">
        <v>83.5</v>
      </c>
      <c r="AL49">
        <v>78.45</v>
      </c>
      <c r="AM49">
        <v>84.6</v>
      </c>
      <c r="AN49">
        <v>78.3</v>
      </c>
      <c r="AO49">
        <v>117.23</v>
      </c>
      <c r="AP49" s="1">
        <v>45741.548611111109</v>
      </c>
      <c r="AQ49">
        <v>5.15</v>
      </c>
      <c r="AR49">
        <v>543450</v>
      </c>
      <c r="AS49">
        <v>180</v>
      </c>
      <c r="AT49">
        <v>208575</v>
      </c>
      <c r="AU49">
        <v>248475</v>
      </c>
      <c r="AV49">
        <v>5.75</v>
      </c>
      <c r="AW49">
        <v>5.75</v>
      </c>
      <c r="AX49">
        <v>-39900</v>
      </c>
      <c r="AY49">
        <v>-115.65000000000801</v>
      </c>
      <c r="AZ49">
        <v>44325</v>
      </c>
      <c r="BA49">
        <v>8625</v>
      </c>
      <c r="BB49" t="s">
        <v>20</v>
      </c>
      <c r="BC49">
        <v>-18975</v>
      </c>
      <c r="BD49" t="s">
        <v>22</v>
      </c>
      <c r="BE49">
        <v>148.25</v>
      </c>
      <c r="BF49">
        <v>153.4</v>
      </c>
      <c r="BG49">
        <v>154.15</v>
      </c>
      <c r="BH49">
        <v>145.30000000000001</v>
      </c>
      <c r="BI49">
        <v>144.51</v>
      </c>
      <c r="BJ49" s="1">
        <v>45741.548611111109</v>
      </c>
      <c r="BK49">
        <v>1742888400</v>
      </c>
      <c r="BL49">
        <f t="shared" si="1"/>
        <v>2.9999999999999361E-2</v>
      </c>
      <c r="BM49">
        <f t="shared" si="2"/>
        <v>5.5596590909085683E-2</v>
      </c>
      <c r="BN49" s="3">
        <f t="shared" si="3"/>
        <v>-1</v>
      </c>
      <c r="BO49">
        <v>13.83</v>
      </c>
      <c r="BP49">
        <v>13.84</v>
      </c>
      <c r="BQ49">
        <v>13.79</v>
      </c>
      <c r="BR49">
        <v>13.8</v>
      </c>
      <c r="BS49">
        <v>0</v>
      </c>
    </row>
    <row r="50" spans="1:71" x14ac:dyDescent="0.25">
      <c r="A50" s="1">
        <v>45741.552083333336</v>
      </c>
      <c r="B50">
        <v>-25.399999999997799</v>
      </c>
      <c r="C50">
        <v>100425</v>
      </c>
      <c r="D50">
        <v>151</v>
      </c>
      <c r="E50">
        <v>171600</v>
      </c>
      <c r="F50">
        <v>60750</v>
      </c>
      <c r="G50">
        <v>-25.399999999997799</v>
      </c>
      <c r="H50">
        <v>-23.200000000000699</v>
      </c>
      <c r="I50">
        <v>110850</v>
      </c>
      <c r="J50">
        <v>-704.39999999944098</v>
      </c>
      <c r="K50">
        <v>36675</v>
      </c>
      <c r="L50">
        <v>-34275</v>
      </c>
      <c r="M50" t="s">
        <v>22</v>
      </c>
      <c r="N50">
        <v>675</v>
      </c>
      <c r="O50" t="s">
        <v>21</v>
      </c>
      <c r="P50">
        <v>23760.38</v>
      </c>
      <c r="Q50">
        <v>23720.6</v>
      </c>
      <c r="R50">
        <v>23695.200000000001</v>
      </c>
      <c r="S50">
        <v>23728.45</v>
      </c>
      <c r="T50">
        <v>23687.65</v>
      </c>
      <c r="U50">
        <f t="shared" si="0"/>
        <v>25.399999999997817</v>
      </c>
      <c r="V50" s="1">
        <v>45741.552083333336</v>
      </c>
      <c r="W50">
        <v>-8.4499999999999993</v>
      </c>
      <c r="X50">
        <v>2476800</v>
      </c>
      <c r="Y50">
        <v>181</v>
      </c>
      <c r="Z50">
        <v>395025</v>
      </c>
      <c r="AA50">
        <v>375750</v>
      </c>
      <c r="AB50">
        <v>-8</v>
      </c>
      <c r="AC50">
        <v>-7.9499999999999797</v>
      </c>
      <c r="AD50">
        <v>19275</v>
      </c>
      <c r="AE50">
        <v>-56.5</v>
      </c>
      <c r="AF50">
        <v>42450</v>
      </c>
      <c r="AG50">
        <v>-72450</v>
      </c>
      <c r="AH50" t="s">
        <v>22</v>
      </c>
      <c r="AI50">
        <v>3150</v>
      </c>
      <c r="AJ50" t="s">
        <v>20</v>
      </c>
      <c r="AK50">
        <v>78.650000000000006</v>
      </c>
      <c r="AL50">
        <v>70.2</v>
      </c>
      <c r="AM50">
        <v>79.7</v>
      </c>
      <c r="AN50">
        <v>67.400000000000006</v>
      </c>
      <c r="AO50">
        <v>116.61</v>
      </c>
      <c r="AP50" s="1">
        <v>45741.552083333336</v>
      </c>
      <c r="AQ50">
        <v>18.5</v>
      </c>
      <c r="AR50">
        <v>1371075</v>
      </c>
      <c r="AS50">
        <v>181</v>
      </c>
      <c r="AT50">
        <v>191925</v>
      </c>
      <c r="AU50">
        <v>186450</v>
      </c>
      <c r="AV50">
        <v>17.899999999999999</v>
      </c>
      <c r="AW50">
        <v>18.149999999999899</v>
      </c>
      <c r="AX50">
        <v>5475</v>
      </c>
      <c r="AY50">
        <v>-126.350000000005</v>
      </c>
      <c r="AZ50">
        <v>39375</v>
      </c>
      <c r="BA50">
        <v>-39375</v>
      </c>
      <c r="BB50" t="s">
        <v>21</v>
      </c>
      <c r="BC50">
        <v>-89550</v>
      </c>
      <c r="BD50" t="s">
        <v>22</v>
      </c>
      <c r="BE50">
        <v>153.5</v>
      </c>
      <c r="BF50">
        <v>172</v>
      </c>
      <c r="BG50">
        <v>178.35</v>
      </c>
      <c r="BH50">
        <v>151.65</v>
      </c>
      <c r="BI50">
        <v>144.77000000000001</v>
      </c>
      <c r="BJ50" s="1">
        <v>45741.552083333336</v>
      </c>
      <c r="BK50">
        <v>1742888700</v>
      </c>
      <c r="BL50">
        <f t="shared" si="1"/>
        <v>8.9999999999999858E-2</v>
      </c>
      <c r="BM50">
        <f t="shared" si="2"/>
        <v>0.13710227272725775</v>
      </c>
      <c r="BN50" s="3">
        <f t="shared" si="3"/>
        <v>-1</v>
      </c>
      <c r="BO50">
        <v>13.8</v>
      </c>
      <c r="BP50">
        <v>13.89</v>
      </c>
      <c r="BQ50">
        <v>13.78</v>
      </c>
      <c r="BR50">
        <v>13.89</v>
      </c>
      <c r="BS50">
        <v>0</v>
      </c>
    </row>
    <row r="51" spans="1:71" s="3" customFormat="1" x14ac:dyDescent="0.25">
      <c r="A51" s="2">
        <v>45741.555555555555</v>
      </c>
      <c r="B51" s="3">
        <v>29.849999999998499</v>
      </c>
      <c r="C51">
        <v>41025</v>
      </c>
      <c r="D51">
        <v>124</v>
      </c>
      <c r="E51">
        <v>48600</v>
      </c>
      <c r="F51">
        <v>57975</v>
      </c>
      <c r="G51">
        <v>27.25</v>
      </c>
      <c r="H51">
        <v>24.8000000000029</v>
      </c>
      <c r="I51">
        <v>-9375</v>
      </c>
      <c r="J51">
        <v>-557.64999999944098</v>
      </c>
      <c r="K51">
        <v>23475</v>
      </c>
      <c r="L51">
        <v>3750</v>
      </c>
      <c r="M51" t="s">
        <v>21</v>
      </c>
      <c r="N51">
        <v>59700</v>
      </c>
      <c r="O51" t="s">
        <v>22</v>
      </c>
      <c r="P51">
        <v>23760.06</v>
      </c>
      <c r="Q51">
        <v>23695.200000000001</v>
      </c>
      <c r="R51">
        <v>23725.05</v>
      </c>
      <c r="S51" s="3">
        <v>23727.35</v>
      </c>
      <c r="T51" s="3">
        <v>23695.200000000001</v>
      </c>
      <c r="U51" s="3">
        <f t="shared" si="0"/>
        <v>29.849999999998545</v>
      </c>
      <c r="V51" s="1">
        <v>45741.555555555555</v>
      </c>
      <c r="W51">
        <v>8.9499999999999993</v>
      </c>
      <c r="X51">
        <v>1567725</v>
      </c>
      <c r="Y51">
        <v>182</v>
      </c>
      <c r="Z51">
        <v>454125</v>
      </c>
      <c r="AA51">
        <v>510975</v>
      </c>
      <c r="AB51">
        <v>8.1999999999999993</v>
      </c>
      <c r="AC51">
        <v>8.15</v>
      </c>
      <c r="AD51">
        <v>-56850</v>
      </c>
      <c r="AE51">
        <v>-62.450000000000699</v>
      </c>
      <c r="AF51">
        <v>53325</v>
      </c>
      <c r="AG51">
        <v>38850</v>
      </c>
      <c r="AH51" t="s">
        <v>21</v>
      </c>
      <c r="AI51">
        <v>32625</v>
      </c>
      <c r="AJ51" t="s">
        <v>22</v>
      </c>
      <c r="AK51">
        <v>70.849999999999994</v>
      </c>
      <c r="AL51">
        <v>79.8</v>
      </c>
      <c r="AM51">
        <v>80.25</v>
      </c>
      <c r="AN51">
        <v>70.599999999999994</v>
      </c>
      <c r="AO51">
        <v>116.26</v>
      </c>
      <c r="AP51" s="1">
        <v>45741.555555555555</v>
      </c>
      <c r="AQ51">
        <v>-19.95</v>
      </c>
      <c r="AR51">
        <v>844725</v>
      </c>
      <c r="AS51">
        <v>182</v>
      </c>
      <c r="AT51">
        <v>194475</v>
      </c>
      <c r="AU51">
        <v>210750</v>
      </c>
      <c r="AV51">
        <v>-18.849999999999898</v>
      </c>
      <c r="AW51">
        <v>-18.849999999999898</v>
      </c>
      <c r="AX51">
        <v>-16275</v>
      </c>
      <c r="AY51">
        <v>-125.449999999997</v>
      </c>
      <c r="AZ51">
        <v>39675</v>
      </c>
      <c r="BA51">
        <v>15600</v>
      </c>
      <c r="BB51" t="s">
        <v>22</v>
      </c>
      <c r="BC51">
        <v>38400</v>
      </c>
      <c r="BD51" t="s">
        <v>21</v>
      </c>
      <c r="BE51">
        <v>170.9</v>
      </c>
      <c r="BF51">
        <v>150.94999999999999</v>
      </c>
      <c r="BG51">
        <v>172.5</v>
      </c>
      <c r="BH51">
        <v>150.1</v>
      </c>
      <c r="BI51">
        <v>144.88</v>
      </c>
      <c r="BJ51" s="1">
        <v>45741.555555555555</v>
      </c>
      <c r="BK51">
        <v>1742889000</v>
      </c>
      <c r="BL51" s="3">
        <f t="shared" si="1"/>
        <v>0.22000000000000064</v>
      </c>
      <c r="BM51" s="3">
        <f t="shared" si="2"/>
        <v>0.16112215909089747</v>
      </c>
      <c r="BN51" s="3">
        <f t="shared" si="3"/>
        <v>1</v>
      </c>
      <c r="BO51" s="3">
        <v>13.88</v>
      </c>
      <c r="BP51" s="3">
        <v>13.89</v>
      </c>
      <c r="BQ51" s="3">
        <v>13.64</v>
      </c>
      <c r="BR51" s="3">
        <v>13.66</v>
      </c>
      <c r="BS51" s="3">
        <v>0</v>
      </c>
    </row>
    <row r="52" spans="1:71" x14ac:dyDescent="0.25">
      <c r="A52" s="1">
        <v>45741.559027777781</v>
      </c>
      <c r="B52">
        <v>-10.200000000000699</v>
      </c>
      <c r="C52">
        <v>34875</v>
      </c>
      <c r="D52">
        <v>117</v>
      </c>
      <c r="E52">
        <v>66600</v>
      </c>
      <c r="F52">
        <v>59475</v>
      </c>
      <c r="G52">
        <v>-17.199999999997001</v>
      </c>
      <c r="H52">
        <v>-13.350000000002099</v>
      </c>
      <c r="I52">
        <v>7125</v>
      </c>
      <c r="J52">
        <v>-577.75</v>
      </c>
      <c r="K52">
        <v>26550</v>
      </c>
      <c r="L52">
        <v>-9150</v>
      </c>
      <c r="M52" t="s">
        <v>22</v>
      </c>
      <c r="N52">
        <v>46800</v>
      </c>
      <c r="O52" t="s">
        <v>20</v>
      </c>
      <c r="P52">
        <v>23759.84</v>
      </c>
      <c r="Q52">
        <v>23723.75</v>
      </c>
      <c r="R52">
        <v>23713.55</v>
      </c>
      <c r="S52">
        <v>23727</v>
      </c>
      <c r="T52">
        <v>23704.05</v>
      </c>
      <c r="U52">
        <f t="shared" si="0"/>
        <v>10.200000000000728</v>
      </c>
      <c r="V52" s="1">
        <v>45741.559027777781</v>
      </c>
      <c r="W52">
        <v>-5.0999999999999899</v>
      </c>
      <c r="X52">
        <v>1429125</v>
      </c>
      <c r="Y52">
        <v>181</v>
      </c>
      <c r="Z52">
        <v>288975</v>
      </c>
      <c r="AA52">
        <v>467775</v>
      </c>
      <c r="AB52">
        <v>-6.0499999999999901</v>
      </c>
      <c r="AC52">
        <v>-6.0500000000000096</v>
      </c>
      <c r="AD52">
        <v>-178800</v>
      </c>
      <c r="AE52">
        <v>-60.400000000005001</v>
      </c>
      <c r="AF52">
        <v>45075</v>
      </c>
      <c r="AG52">
        <v>-28050</v>
      </c>
      <c r="AH52" t="s">
        <v>22</v>
      </c>
      <c r="AI52">
        <v>3825</v>
      </c>
      <c r="AJ52" t="s">
        <v>20</v>
      </c>
      <c r="AK52">
        <v>79.5</v>
      </c>
      <c r="AL52">
        <v>74.400000000000006</v>
      </c>
      <c r="AM52">
        <v>79.650000000000006</v>
      </c>
      <c r="AN52">
        <v>72.650000000000006</v>
      </c>
      <c r="AO52">
        <v>115.95</v>
      </c>
      <c r="AP52" s="1">
        <v>45741.559027777781</v>
      </c>
      <c r="AQ52">
        <v>7.5</v>
      </c>
      <c r="AR52">
        <v>649725</v>
      </c>
      <c r="AS52">
        <v>181</v>
      </c>
      <c r="AT52">
        <v>196875</v>
      </c>
      <c r="AU52">
        <v>179925</v>
      </c>
      <c r="AV52">
        <v>9.7000000000000099</v>
      </c>
      <c r="AW52">
        <v>9.6999999999999797</v>
      </c>
      <c r="AX52">
        <v>16950</v>
      </c>
      <c r="AY52">
        <v>-120.550000000002</v>
      </c>
      <c r="AZ52">
        <v>43350</v>
      </c>
      <c r="BA52">
        <v>26100</v>
      </c>
      <c r="BB52" t="s">
        <v>20</v>
      </c>
      <c r="BC52">
        <v>-2100</v>
      </c>
      <c r="BD52" t="s">
        <v>22</v>
      </c>
      <c r="BE52">
        <v>151.5</v>
      </c>
      <c r="BF52">
        <v>159</v>
      </c>
      <c r="BG52">
        <v>163.5</v>
      </c>
      <c r="BH52">
        <v>150.6</v>
      </c>
      <c r="BI52">
        <v>144.94</v>
      </c>
      <c r="BJ52" s="1">
        <v>45741.559027777781</v>
      </c>
      <c r="BK52">
        <v>1742889300</v>
      </c>
      <c r="BL52">
        <f t="shared" si="1"/>
        <v>0</v>
      </c>
      <c r="BM52">
        <f t="shared" si="2"/>
        <v>5.5056818181820823E-2</v>
      </c>
      <c r="BN52" s="3">
        <f t="shared" si="3"/>
        <v>-1</v>
      </c>
      <c r="BO52">
        <v>13.67</v>
      </c>
      <c r="BP52">
        <v>13.74</v>
      </c>
      <c r="BQ52">
        <v>13.65</v>
      </c>
      <c r="BR52">
        <v>13.67</v>
      </c>
      <c r="BS52">
        <v>0</v>
      </c>
    </row>
    <row r="53" spans="1:71" x14ac:dyDescent="0.25">
      <c r="A53" s="1">
        <v>45741.5625</v>
      </c>
      <c r="B53">
        <v>19.200000000000699</v>
      </c>
      <c r="C53">
        <v>54825</v>
      </c>
      <c r="D53">
        <v>106</v>
      </c>
      <c r="E53">
        <v>73725</v>
      </c>
      <c r="F53">
        <v>63225</v>
      </c>
      <c r="G53">
        <v>20.799999999999201</v>
      </c>
      <c r="H53">
        <v>17.450000000000699</v>
      </c>
      <c r="I53">
        <v>10500</v>
      </c>
      <c r="J53">
        <v>-558.00000000093098</v>
      </c>
      <c r="K53">
        <v>21075</v>
      </c>
      <c r="L53">
        <v>11175</v>
      </c>
      <c r="M53" t="s">
        <v>21</v>
      </c>
      <c r="N53">
        <v>13275</v>
      </c>
      <c r="O53" t="s">
        <v>20</v>
      </c>
      <c r="P53">
        <v>23759.51</v>
      </c>
      <c r="Q53">
        <v>23713.55</v>
      </c>
      <c r="R53">
        <v>23732.75</v>
      </c>
      <c r="S53">
        <v>23733.15</v>
      </c>
      <c r="T53">
        <v>23710</v>
      </c>
      <c r="U53">
        <f t="shared" si="0"/>
        <v>19.200000000000728</v>
      </c>
      <c r="V53" s="1">
        <v>45741.5625</v>
      </c>
      <c r="W53">
        <v>4.8499999999999899</v>
      </c>
      <c r="X53">
        <v>1150275</v>
      </c>
      <c r="Y53">
        <v>181</v>
      </c>
      <c r="Z53">
        <v>372375</v>
      </c>
      <c r="AA53">
        <v>377850</v>
      </c>
      <c r="AB53">
        <v>5</v>
      </c>
      <c r="AC53">
        <v>4.9499999999999797</v>
      </c>
      <c r="AD53">
        <v>-5475</v>
      </c>
      <c r="AE53">
        <v>-65.200000000004295</v>
      </c>
      <c r="AF53">
        <v>46875</v>
      </c>
      <c r="AG53">
        <v>47025</v>
      </c>
      <c r="AH53" t="s">
        <v>21</v>
      </c>
      <c r="AI53">
        <v>-67350</v>
      </c>
      <c r="AJ53" t="s">
        <v>21</v>
      </c>
      <c r="AK53">
        <v>74.2</v>
      </c>
      <c r="AL53">
        <v>79.05</v>
      </c>
      <c r="AM53">
        <v>80.75</v>
      </c>
      <c r="AN53">
        <v>74</v>
      </c>
      <c r="AO53">
        <v>115.71</v>
      </c>
      <c r="AP53" s="1">
        <v>45741.5625</v>
      </c>
      <c r="AQ53">
        <v>-11.149999999999901</v>
      </c>
      <c r="AR53">
        <v>625500</v>
      </c>
      <c r="AS53">
        <v>181</v>
      </c>
      <c r="AT53">
        <v>172950</v>
      </c>
      <c r="AU53">
        <v>210975</v>
      </c>
      <c r="AV53">
        <v>-11.4499999999999</v>
      </c>
      <c r="AW53">
        <v>-11.5</v>
      </c>
      <c r="AX53">
        <v>-38025</v>
      </c>
      <c r="AY53">
        <v>-120.300000000002</v>
      </c>
      <c r="AZ53">
        <v>41250</v>
      </c>
      <c r="BA53">
        <v>-29775</v>
      </c>
      <c r="BB53" t="s">
        <v>21</v>
      </c>
      <c r="BC53">
        <v>32025</v>
      </c>
      <c r="BD53" t="s">
        <v>21</v>
      </c>
      <c r="BE53">
        <v>159.19999999999999</v>
      </c>
      <c r="BF53">
        <v>148.05000000000001</v>
      </c>
      <c r="BG53">
        <v>160.4</v>
      </c>
      <c r="BH53">
        <v>145.80000000000001</v>
      </c>
      <c r="BI53">
        <v>144.97999999999999</v>
      </c>
      <c r="BJ53" s="1">
        <v>45741.5625</v>
      </c>
      <c r="BK53">
        <v>1742889600</v>
      </c>
      <c r="BL53">
        <f t="shared" si="1"/>
        <v>6.0000000000000497E-2</v>
      </c>
      <c r="BM53">
        <f t="shared" si="2"/>
        <v>0.10363636363636514</v>
      </c>
      <c r="BN53" s="3">
        <f t="shared" si="3"/>
        <v>-1</v>
      </c>
      <c r="BO53">
        <v>13.66</v>
      </c>
      <c r="BP53">
        <v>13.75</v>
      </c>
      <c r="BQ53">
        <v>13.66</v>
      </c>
      <c r="BR53">
        <v>13.72</v>
      </c>
      <c r="BS53">
        <v>0</v>
      </c>
    </row>
    <row r="54" spans="1:71" x14ac:dyDescent="0.25">
      <c r="A54" s="1">
        <v>45741.565972222219</v>
      </c>
      <c r="B54">
        <v>22.349999999998499</v>
      </c>
      <c r="C54">
        <v>111075</v>
      </c>
      <c r="D54">
        <v>149</v>
      </c>
      <c r="E54">
        <v>149475</v>
      </c>
      <c r="F54">
        <v>387525</v>
      </c>
      <c r="G54">
        <v>27.450000000000699</v>
      </c>
      <c r="H54">
        <v>25.25</v>
      </c>
      <c r="I54">
        <v>-238050</v>
      </c>
      <c r="J54">
        <v>-707.54999999981305</v>
      </c>
      <c r="K54">
        <v>29175</v>
      </c>
      <c r="L54">
        <v>-2025</v>
      </c>
      <c r="M54" t="s">
        <v>22</v>
      </c>
      <c r="N54">
        <v>-26100</v>
      </c>
      <c r="O54" t="s">
        <v>21</v>
      </c>
      <c r="P54">
        <v>23759.22</v>
      </c>
      <c r="Q54">
        <v>23732.65</v>
      </c>
      <c r="R54">
        <v>23755</v>
      </c>
      <c r="S54">
        <v>23758</v>
      </c>
      <c r="T54">
        <v>23725.8</v>
      </c>
      <c r="U54">
        <f t="shared" si="0"/>
        <v>22.349999999998545</v>
      </c>
      <c r="V54" s="1">
        <v>45741.565972222219</v>
      </c>
      <c r="W54">
        <v>11.7</v>
      </c>
      <c r="X54">
        <v>2779350</v>
      </c>
      <c r="Y54">
        <v>180</v>
      </c>
      <c r="Z54">
        <v>331800</v>
      </c>
      <c r="AA54">
        <v>317025</v>
      </c>
      <c r="AB54">
        <v>11.7</v>
      </c>
      <c r="AC54">
        <v>11.7</v>
      </c>
      <c r="AD54">
        <v>14775</v>
      </c>
      <c r="AE54">
        <v>-66.499999999992696</v>
      </c>
      <c r="AF54">
        <v>41625</v>
      </c>
      <c r="AG54">
        <v>41700</v>
      </c>
      <c r="AH54" t="s">
        <v>20</v>
      </c>
      <c r="AI54">
        <v>-175875</v>
      </c>
      <c r="AJ54" t="s">
        <v>21</v>
      </c>
      <c r="AK54">
        <v>79.099999999999994</v>
      </c>
      <c r="AL54">
        <v>90.8</v>
      </c>
      <c r="AM54">
        <v>91.85</v>
      </c>
      <c r="AN54">
        <v>79</v>
      </c>
      <c r="AO54">
        <v>115.28</v>
      </c>
      <c r="AP54" s="1">
        <v>45741.565972222219</v>
      </c>
      <c r="AQ54">
        <v>-17.599999999999898</v>
      </c>
      <c r="AR54">
        <v>1210275</v>
      </c>
      <c r="AS54">
        <v>180</v>
      </c>
      <c r="AT54">
        <v>191475</v>
      </c>
      <c r="AU54">
        <v>216825</v>
      </c>
      <c r="AV54">
        <v>-17.549999999999901</v>
      </c>
      <c r="AW54">
        <v>-17.549999999999901</v>
      </c>
      <c r="AX54">
        <v>-25350</v>
      </c>
      <c r="AY54">
        <v>-103.25</v>
      </c>
      <c r="AZ54">
        <v>44475</v>
      </c>
      <c r="BA54">
        <v>-18075</v>
      </c>
      <c r="BB54" t="s">
        <v>20</v>
      </c>
      <c r="BC54">
        <v>38400</v>
      </c>
      <c r="BD54" t="s">
        <v>20</v>
      </c>
      <c r="BE54">
        <v>148.15</v>
      </c>
      <c r="BF54">
        <v>130.55000000000001</v>
      </c>
      <c r="BG54">
        <v>148.55000000000001</v>
      </c>
      <c r="BH54">
        <v>129.15</v>
      </c>
      <c r="BI54">
        <v>144.88999999999999</v>
      </c>
      <c r="BJ54" s="1">
        <v>45741.565972222219</v>
      </c>
      <c r="BK54">
        <v>1742889900</v>
      </c>
      <c r="BL54">
        <f t="shared" si="1"/>
        <v>8.0000000000000071E-2</v>
      </c>
      <c r="BM54">
        <f t="shared" si="2"/>
        <v>0.12063920454544387</v>
      </c>
      <c r="BN54" s="3">
        <f t="shared" si="3"/>
        <v>-1</v>
      </c>
      <c r="BO54">
        <v>13.71</v>
      </c>
      <c r="BP54">
        <v>13.73</v>
      </c>
      <c r="BQ54">
        <v>13.61</v>
      </c>
      <c r="BR54">
        <v>13.63</v>
      </c>
      <c r="BS54">
        <v>0</v>
      </c>
    </row>
    <row r="55" spans="1:71" s="3" customFormat="1" x14ac:dyDescent="0.25">
      <c r="A55" s="2">
        <v>45741.569444444445</v>
      </c>
      <c r="B55" s="3">
        <v>-5.7999999999992697</v>
      </c>
      <c r="C55">
        <v>90450</v>
      </c>
      <c r="D55">
        <v>140</v>
      </c>
      <c r="E55">
        <v>136875</v>
      </c>
      <c r="F55">
        <v>54675</v>
      </c>
      <c r="G55">
        <v>-9.5499999999992706</v>
      </c>
      <c r="H55">
        <v>-6.2000000000007196</v>
      </c>
      <c r="I55">
        <v>82200</v>
      </c>
      <c r="J55">
        <v>-760.350000000558</v>
      </c>
      <c r="K55">
        <v>28575</v>
      </c>
      <c r="L55">
        <v>10575</v>
      </c>
      <c r="M55" t="s">
        <v>20</v>
      </c>
      <c r="N55">
        <v>17625</v>
      </c>
      <c r="O55" t="s">
        <v>22</v>
      </c>
      <c r="P55">
        <v>23759.08</v>
      </c>
      <c r="Q55">
        <v>23757</v>
      </c>
      <c r="R55">
        <v>23751.200000000001</v>
      </c>
      <c r="S55" s="3">
        <v>23757.7</v>
      </c>
      <c r="T55" s="3">
        <v>23738</v>
      </c>
      <c r="U55" s="3">
        <f t="shared" si="0"/>
        <v>5.7999999999992724</v>
      </c>
      <c r="V55" s="1">
        <v>45741.569444444445</v>
      </c>
      <c r="W55">
        <v>-2.5999999999999899</v>
      </c>
      <c r="X55">
        <v>2386950</v>
      </c>
      <c r="Y55">
        <v>180</v>
      </c>
      <c r="Z55">
        <v>382125</v>
      </c>
      <c r="AA55">
        <v>388500</v>
      </c>
      <c r="AB55">
        <v>-2.2999999999999901</v>
      </c>
      <c r="AC55">
        <v>-2.2999999999999901</v>
      </c>
      <c r="AD55">
        <v>-6375</v>
      </c>
      <c r="AE55">
        <v>-71.199999999997004</v>
      </c>
      <c r="AF55">
        <v>48000</v>
      </c>
      <c r="AG55">
        <v>-13500</v>
      </c>
      <c r="AH55" t="s">
        <v>22</v>
      </c>
      <c r="AI55">
        <v>71400</v>
      </c>
      <c r="AJ55" t="s">
        <v>22</v>
      </c>
      <c r="AK55">
        <v>91.5</v>
      </c>
      <c r="AL55">
        <v>88.9</v>
      </c>
      <c r="AM55">
        <v>91.5</v>
      </c>
      <c r="AN55">
        <v>81.900000000000006</v>
      </c>
      <c r="AO55">
        <v>114.93</v>
      </c>
      <c r="AP55" s="1">
        <v>45741.569444444445</v>
      </c>
      <c r="AQ55">
        <v>5.65</v>
      </c>
      <c r="AR55">
        <v>999900</v>
      </c>
      <c r="AS55">
        <v>180</v>
      </c>
      <c r="AT55">
        <v>218625</v>
      </c>
      <c r="AU55">
        <v>208575</v>
      </c>
      <c r="AV55">
        <v>5.75</v>
      </c>
      <c r="AW55">
        <v>5.6999999999999797</v>
      </c>
      <c r="AX55">
        <v>10050</v>
      </c>
      <c r="AY55">
        <v>-102.5</v>
      </c>
      <c r="AZ55">
        <v>44550</v>
      </c>
      <c r="BA55">
        <v>54225</v>
      </c>
      <c r="BB55" t="s">
        <v>22</v>
      </c>
      <c r="BC55">
        <v>-4500</v>
      </c>
      <c r="BD55" t="s">
        <v>22</v>
      </c>
      <c r="BE55">
        <v>129.85</v>
      </c>
      <c r="BF55">
        <v>135.5</v>
      </c>
      <c r="BG55">
        <v>142.94999999999999</v>
      </c>
      <c r="BH55">
        <v>129.85</v>
      </c>
      <c r="BI55">
        <v>144.82</v>
      </c>
      <c r="BJ55" s="1">
        <v>45741.569444444445</v>
      </c>
      <c r="BK55">
        <v>1742890200</v>
      </c>
      <c r="BL55" s="3">
        <f t="shared" si="1"/>
        <v>9.9999999999999645E-2</v>
      </c>
      <c r="BM55" s="3">
        <f t="shared" si="2"/>
        <v>3.1306818181813523E-2</v>
      </c>
      <c r="BN55" s="3">
        <f t="shared" si="3"/>
        <v>1</v>
      </c>
      <c r="BO55" s="3">
        <v>13.64</v>
      </c>
      <c r="BP55" s="3">
        <v>13.77</v>
      </c>
      <c r="BQ55" s="3">
        <v>13.64</v>
      </c>
      <c r="BR55" s="3">
        <v>13.74</v>
      </c>
      <c r="BS55" s="3">
        <v>0</v>
      </c>
    </row>
    <row r="56" spans="1:71" x14ac:dyDescent="0.25">
      <c r="A56" s="1">
        <v>45741.572916666664</v>
      </c>
      <c r="B56">
        <v>15.5</v>
      </c>
      <c r="C56">
        <v>74325</v>
      </c>
      <c r="D56">
        <v>129</v>
      </c>
      <c r="E56">
        <v>97800</v>
      </c>
      <c r="F56">
        <v>202350</v>
      </c>
      <c r="G56">
        <v>19.799999999999201</v>
      </c>
      <c r="H56">
        <v>19.849999999998499</v>
      </c>
      <c r="I56">
        <v>-104550</v>
      </c>
      <c r="J56">
        <v>-931.20000000018604</v>
      </c>
      <c r="K56">
        <v>24525</v>
      </c>
      <c r="L56">
        <v>-12450</v>
      </c>
      <c r="M56" t="s">
        <v>22</v>
      </c>
      <c r="N56">
        <v>-28800</v>
      </c>
      <c r="O56" t="s">
        <v>21</v>
      </c>
      <c r="P56">
        <v>23759.03</v>
      </c>
      <c r="Q56">
        <v>23751.200000000001</v>
      </c>
      <c r="R56">
        <v>23766.7</v>
      </c>
      <c r="S56">
        <v>23771</v>
      </c>
      <c r="T56">
        <v>23740.15</v>
      </c>
      <c r="U56">
        <f t="shared" si="0"/>
        <v>15.5</v>
      </c>
      <c r="V56" s="1">
        <v>45741.572916666664</v>
      </c>
      <c r="W56">
        <v>9.75</v>
      </c>
      <c r="X56">
        <v>2633025</v>
      </c>
      <c r="Y56">
        <v>183</v>
      </c>
      <c r="Z56">
        <v>365925</v>
      </c>
      <c r="AA56">
        <v>379050</v>
      </c>
      <c r="AB56">
        <v>8.9499999999999993</v>
      </c>
      <c r="AC56">
        <v>9</v>
      </c>
      <c r="AD56">
        <v>-13125</v>
      </c>
      <c r="AE56">
        <v>-72.650000000001398</v>
      </c>
      <c r="AF56">
        <v>44550</v>
      </c>
      <c r="AG56">
        <v>50400</v>
      </c>
      <c r="AH56" t="s">
        <v>21</v>
      </c>
      <c r="AI56">
        <v>-190575</v>
      </c>
      <c r="AJ56" t="s">
        <v>21</v>
      </c>
      <c r="AK56">
        <v>88.9</v>
      </c>
      <c r="AL56">
        <v>98.65</v>
      </c>
      <c r="AM56">
        <v>99.05</v>
      </c>
      <c r="AN56">
        <v>85.4</v>
      </c>
      <c r="AO56">
        <v>114.61</v>
      </c>
      <c r="AP56" s="1">
        <v>45741.572916666664</v>
      </c>
      <c r="AQ56">
        <v>-9.9500000000000099</v>
      </c>
      <c r="AR56">
        <v>866550</v>
      </c>
      <c r="AS56">
        <v>182</v>
      </c>
      <c r="AT56">
        <v>210075</v>
      </c>
      <c r="AU56">
        <v>200175</v>
      </c>
      <c r="AV56">
        <v>-9.6999999999999993</v>
      </c>
      <c r="AW56">
        <v>-9.6999999999999797</v>
      </c>
      <c r="AX56">
        <v>9900</v>
      </c>
      <c r="AY56">
        <v>-101.900000000001</v>
      </c>
      <c r="AZ56">
        <v>42525</v>
      </c>
      <c r="BA56">
        <v>-60525</v>
      </c>
      <c r="BB56" t="s">
        <v>21</v>
      </c>
      <c r="BC56">
        <v>24225</v>
      </c>
      <c r="BD56" t="s">
        <v>21</v>
      </c>
      <c r="BE56">
        <v>135.80000000000001</v>
      </c>
      <c r="BF56">
        <v>125.85</v>
      </c>
      <c r="BG56">
        <v>140.94999999999999</v>
      </c>
      <c r="BH56">
        <v>125.8</v>
      </c>
      <c r="BI56">
        <v>144.75</v>
      </c>
      <c r="BJ56" s="1">
        <v>45741.572916666664</v>
      </c>
      <c r="BK56">
        <v>1742890500</v>
      </c>
      <c r="BL56">
        <f t="shared" si="1"/>
        <v>6.0000000000000497E-2</v>
      </c>
      <c r="BM56">
        <f t="shared" si="2"/>
        <v>8.3664772727270784E-2</v>
      </c>
      <c r="BN56" s="3">
        <f t="shared" si="3"/>
        <v>-1</v>
      </c>
      <c r="BO56">
        <v>13.75</v>
      </c>
      <c r="BP56">
        <v>13.8</v>
      </c>
      <c r="BQ56">
        <v>13.69</v>
      </c>
      <c r="BR56">
        <v>13.69</v>
      </c>
      <c r="BS56">
        <v>0</v>
      </c>
    </row>
    <row r="57" spans="1:71" s="3" customFormat="1" x14ac:dyDescent="0.25">
      <c r="A57" s="2">
        <v>45741.576388888891</v>
      </c>
      <c r="B57" s="3">
        <v>-0.95000000000072704</v>
      </c>
      <c r="C57">
        <v>90000</v>
      </c>
      <c r="D57">
        <v>150</v>
      </c>
      <c r="E57">
        <v>389850</v>
      </c>
      <c r="F57">
        <v>48000</v>
      </c>
      <c r="G57">
        <v>-0.54999999999927196</v>
      </c>
      <c r="H57">
        <v>-1.95000000000072</v>
      </c>
      <c r="I57">
        <v>341850</v>
      </c>
      <c r="J57">
        <v>-844.20000000018604</v>
      </c>
      <c r="K57">
        <v>30225</v>
      </c>
      <c r="L57">
        <v>17100</v>
      </c>
      <c r="M57" t="s">
        <v>21</v>
      </c>
      <c r="N57">
        <v>-8175</v>
      </c>
      <c r="O57" t="s">
        <v>22</v>
      </c>
      <c r="P57">
        <v>23759.22</v>
      </c>
      <c r="Q57">
        <v>23772</v>
      </c>
      <c r="R57">
        <v>23771.05</v>
      </c>
      <c r="S57" s="3">
        <v>23785</v>
      </c>
      <c r="T57" s="3">
        <v>23754</v>
      </c>
      <c r="U57" s="3">
        <f t="shared" si="0"/>
        <v>0.9500000000007276</v>
      </c>
      <c r="V57" s="1">
        <v>45741.576388888891</v>
      </c>
      <c r="W57">
        <v>-1.44999999999998</v>
      </c>
      <c r="X57">
        <v>4320900</v>
      </c>
      <c r="Y57">
        <v>181</v>
      </c>
      <c r="Z57">
        <v>319350</v>
      </c>
      <c r="AA57">
        <v>381075</v>
      </c>
      <c r="AB57">
        <v>-1.5999999999999901</v>
      </c>
      <c r="AC57">
        <v>-1.44999999999998</v>
      </c>
      <c r="AD57">
        <v>-61725</v>
      </c>
      <c r="AE57">
        <v>-78.150000000008703</v>
      </c>
      <c r="AF57">
        <v>47925</v>
      </c>
      <c r="AG57">
        <v>-19425</v>
      </c>
      <c r="AH57" t="s">
        <v>22</v>
      </c>
      <c r="AI57">
        <v>9900</v>
      </c>
      <c r="AJ57" t="s">
        <v>22</v>
      </c>
      <c r="AK57">
        <v>99.85</v>
      </c>
      <c r="AL57">
        <v>98.4</v>
      </c>
      <c r="AM57">
        <v>106.25</v>
      </c>
      <c r="AN57">
        <v>90.6</v>
      </c>
      <c r="AO57">
        <v>114.27</v>
      </c>
      <c r="AP57" s="1">
        <v>45741.576388888891</v>
      </c>
      <c r="AQ57">
        <v>-4.9999999999997102E-2</v>
      </c>
      <c r="AR57">
        <v>1656375</v>
      </c>
      <c r="AS57">
        <v>181</v>
      </c>
      <c r="AT57">
        <v>189525</v>
      </c>
      <c r="AU57">
        <v>224325</v>
      </c>
      <c r="AV57">
        <v>-4.9999999999997102E-2</v>
      </c>
      <c r="AW57">
        <v>-4.9999999999997102E-2</v>
      </c>
      <c r="AX57">
        <v>-34800</v>
      </c>
      <c r="AY57">
        <v>-88.400000000001398</v>
      </c>
      <c r="AZ57">
        <v>50850</v>
      </c>
      <c r="BA57">
        <v>52800</v>
      </c>
      <c r="BB57" t="s">
        <v>22</v>
      </c>
      <c r="BC57">
        <v>23025</v>
      </c>
      <c r="BD57" t="s">
        <v>20</v>
      </c>
      <c r="BE57">
        <v>124.5</v>
      </c>
      <c r="BF57">
        <v>124.45</v>
      </c>
      <c r="BG57">
        <v>132.1</v>
      </c>
      <c r="BH57">
        <v>119.8</v>
      </c>
      <c r="BI57">
        <v>144.47999999999999</v>
      </c>
      <c r="BJ57" s="1">
        <v>45741.576388888891</v>
      </c>
      <c r="BK57">
        <v>1742890800</v>
      </c>
      <c r="BL57" s="3">
        <f t="shared" si="1"/>
        <v>1.0000000000001563E-2</v>
      </c>
      <c r="BM57" s="3">
        <f t="shared" si="2"/>
        <v>5.127840909094716E-3</v>
      </c>
      <c r="BN57" s="3">
        <f t="shared" si="3"/>
        <v>1</v>
      </c>
      <c r="BO57" s="3">
        <v>13.7</v>
      </c>
      <c r="BP57" s="3">
        <v>13.8</v>
      </c>
      <c r="BQ57" s="3">
        <v>13.69</v>
      </c>
      <c r="BR57" s="3">
        <v>13.71</v>
      </c>
      <c r="BS57" s="3">
        <v>0</v>
      </c>
    </row>
    <row r="58" spans="1:71" x14ac:dyDescent="0.25">
      <c r="A58" s="1">
        <v>45741.579861111109</v>
      </c>
      <c r="B58">
        <v>-5.5</v>
      </c>
      <c r="C58">
        <v>63450</v>
      </c>
      <c r="D58">
        <v>131</v>
      </c>
      <c r="E58">
        <v>91275</v>
      </c>
      <c r="F58">
        <v>51900</v>
      </c>
      <c r="G58">
        <v>-5.4500000000007196</v>
      </c>
      <c r="H58">
        <v>-4.25</v>
      </c>
      <c r="I58">
        <v>39375</v>
      </c>
      <c r="J58">
        <v>-751.80000000074494</v>
      </c>
      <c r="K58">
        <v>27075</v>
      </c>
      <c r="L58">
        <v>10650</v>
      </c>
      <c r="M58" t="s">
        <v>20</v>
      </c>
      <c r="N58">
        <v>-22650</v>
      </c>
      <c r="O58" t="s">
        <v>21</v>
      </c>
      <c r="P58">
        <v>23759.31</v>
      </c>
      <c r="Q58">
        <v>23771.05</v>
      </c>
      <c r="R58">
        <v>23765.55</v>
      </c>
      <c r="S58">
        <v>23779.1</v>
      </c>
      <c r="T58">
        <v>23760.25</v>
      </c>
      <c r="U58">
        <f t="shared" si="0"/>
        <v>5.5</v>
      </c>
      <c r="V58" s="1">
        <v>45741.579861111109</v>
      </c>
      <c r="W58">
        <v>-2.95</v>
      </c>
      <c r="X58">
        <v>2224800</v>
      </c>
      <c r="Y58">
        <v>180</v>
      </c>
      <c r="Z58">
        <v>401850</v>
      </c>
      <c r="AA58">
        <v>372225</v>
      </c>
      <c r="AB58">
        <v>-2.25</v>
      </c>
      <c r="AC58">
        <v>-2.2999999999999901</v>
      </c>
      <c r="AD58">
        <v>29625</v>
      </c>
      <c r="AE58">
        <v>-77.799999999995606</v>
      </c>
      <c r="AF58">
        <v>44850</v>
      </c>
      <c r="AG58">
        <v>20625</v>
      </c>
      <c r="AH58" t="s">
        <v>21</v>
      </c>
      <c r="AI58">
        <v>135300</v>
      </c>
      <c r="AJ58" t="s">
        <v>22</v>
      </c>
      <c r="AK58">
        <v>98.7</v>
      </c>
      <c r="AL58">
        <v>95.75</v>
      </c>
      <c r="AM58">
        <v>100.7</v>
      </c>
      <c r="AN58">
        <v>92.65</v>
      </c>
      <c r="AO58">
        <v>114.07</v>
      </c>
      <c r="AP58" s="1">
        <v>45741.579861111109</v>
      </c>
      <c r="AQ58">
        <v>0.65000000000000502</v>
      </c>
      <c r="AR58">
        <v>850800</v>
      </c>
      <c r="AS58">
        <v>180</v>
      </c>
      <c r="AT58">
        <v>219000</v>
      </c>
      <c r="AU58">
        <v>207075</v>
      </c>
      <c r="AV58">
        <v>0.44999999999998802</v>
      </c>
      <c r="AW58">
        <v>0.44999999999998802</v>
      </c>
      <c r="AX58">
        <v>11925</v>
      </c>
      <c r="AY58">
        <v>-87.150000000008703</v>
      </c>
      <c r="AZ58">
        <v>40875</v>
      </c>
      <c r="BA58">
        <v>11400</v>
      </c>
      <c r="BB58" t="s">
        <v>20</v>
      </c>
      <c r="BC58">
        <v>34350</v>
      </c>
      <c r="BD58" t="s">
        <v>20</v>
      </c>
      <c r="BE58">
        <v>124.1</v>
      </c>
      <c r="BF58">
        <v>124.75</v>
      </c>
      <c r="BG58">
        <v>129.1</v>
      </c>
      <c r="BH58">
        <v>121.95</v>
      </c>
      <c r="BI58">
        <v>144.35</v>
      </c>
      <c r="BJ58" s="1">
        <v>45741.579861111109</v>
      </c>
      <c r="BK58">
        <v>1742891100</v>
      </c>
      <c r="BL58">
        <f t="shared" si="1"/>
        <v>0</v>
      </c>
      <c r="BM58">
        <f t="shared" si="2"/>
        <v>2.9687499999999308E-2</v>
      </c>
      <c r="BN58" s="3">
        <f t="shared" si="3"/>
        <v>-1</v>
      </c>
      <c r="BO58">
        <v>13.72</v>
      </c>
      <c r="BP58">
        <v>13.75</v>
      </c>
      <c r="BQ58">
        <v>13.68</v>
      </c>
      <c r="BR58">
        <v>13.72</v>
      </c>
      <c r="BS58">
        <v>0</v>
      </c>
    </row>
    <row r="59" spans="1:71" s="3" customFormat="1" x14ac:dyDescent="0.25">
      <c r="A59" s="2">
        <v>45741.583333333336</v>
      </c>
      <c r="B59" s="3">
        <v>-0.89999999999781699</v>
      </c>
      <c r="C59">
        <v>45000</v>
      </c>
      <c r="D59">
        <v>127</v>
      </c>
      <c r="E59">
        <v>66525</v>
      </c>
      <c r="F59">
        <v>46050</v>
      </c>
      <c r="G59">
        <v>0.29999999999927202</v>
      </c>
      <c r="H59">
        <v>0.100000000002182</v>
      </c>
      <c r="I59">
        <v>20475</v>
      </c>
      <c r="J59">
        <v>-538.44999999925403</v>
      </c>
      <c r="K59">
        <v>26325</v>
      </c>
      <c r="L59">
        <v>22200</v>
      </c>
      <c r="M59" t="s">
        <v>20</v>
      </c>
      <c r="N59">
        <v>525</v>
      </c>
      <c r="O59" t="s">
        <v>22</v>
      </c>
      <c r="P59">
        <v>23759.31</v>
      </c>
      <c r="Q59">
        <v>23766.85</v>
      </c>
      <c r="R59">
        <v>23765.95</v>
      </c>
      <c r="S59" s="3">
        <v>23771.85</v>
      </c>
      <c r="T59" s="3">
        <v>23750</v>
      </c>
      <c r="U59" s="3">
        <f t="shared" si="0"/>
        <v>0.89999999999781721</v>
      </c>
      <c r="V59" s="1">
        <v>45741.583333333336</v>
      </c>
      <c r="W59">
        <v>-2.05000000000001</v>
      </c>
      <c r="X59">
        <v>2467650</v>
      </c>
      <c r="Y59">
        <v>182</v>
      </c>
      <c r="Z59">
        <v>377100</v>
      </c>
      <c r="AA59">
        <v>499125</v>
      </c>
      <c r="AB59">
        <v>-2.25</v>
      </c>
      <c r="AC59">
        <v>-2.2000000000000002</v>
      </c>
      <c r="AD59">
        <v>-122025</v>
      </c>
      <c r="AE59">
        <v>-72.999999999992696</v>
      </c>
      <c r="AF59">
        <v>47625</v>
      </c>
      <c r="AG59">
        <v>-68550</v>
      </c>
      <c r="AH59" t="s">
        <v>22</v>
      </c>
      <c r="AI59">
        <v>25350</v>
      </c>
      <c r="AJ59" t="s">
        <v>20</v>
      </c>
      <c r="AK59">
        <v>96.15</v>
      </c>
      <c r="AL59">
        <v>94.1</v>
      </c>
      <c r="AM59">
        <v>96.15</v>
      </c>
      <c r="AN59">
        <v>86.2</v>
      </c>
      <c r="AO59">
        <v>113.79</v>
      </c>
      <c r="AP59" s="1">
        <v>45741.583333333336</v>
      </c>
      <c r="AQ59">
        <v>-0.44999999999998802</v>
      </c>
      <c r="AR59">
        <v>1128900</v>
      </c>
      <c r="AS59">
        <v>182</v>
      </c>
      <c r="AT59">
        <v>191850</v>
      </c>
      <c r="AU59">
        <v>235200</v>
      </c>
      <c r="AV59">
        <v>-0.25</v>
      </c>
      <c r="AW59">
        <v>-9.9999999999994302E-2</v>
      </c>
      <c r="AX59">
        <v>-43350</v>
      </c>
      <c r="AY59">
        <v>-89.800000000002896</v>
      </c>
      <c r="AZ59">
        <v>37200</v>
      </c>
      <c r="BA59">
        <v>5250</v>
      </c>
      <c r="BB59" t="s">
        <v>20</v>
      </c>
      <c r="BC59">
        <v>-37350</v>
      </c>
      <c r="BD59" t="s">
        <v>22</v>
      </c>
      <c r="BE59">
        <v>124.6</v>
      </c>
      <c r="BF59">
        <v>124.15</v>
      </c>
      <c r="BG59">
        <v>134.94999999999999</v>
      </c>
      <c r="BH59">
        <v>122.8</v>
      </c>
      <c r="BI59">
        <v>144.21</v>
      </c>
      <c r="BJ59" s="1">
        <v>45741.583333333336</v>
      </c>
      <c r="BK59">
        <v>1742891400</v>
      </c>
      <c r="BL59" s="3">
        <f t="shared" si="1"/>
        <v>0.12000000000000099</v>
      </c>
      <c r="BM59" s="3">
        <f t="shared" si="2"/>
        <v>4.8579545454426496E-3</v>
      </c>
      <c r="BN59" s="3">
        <f t="shared" si="3"/>
        <v>1</v>
      </c>
      <c r="BO59" s="3">
        <v>13.74</v>
      </c>
      <c r="BP59" s="3">
        <v>13.74</v>
      </c>
      <c r="BQ59" s="3">
        <v>13.59</v>
      </c>
      <c r="BR59" s="3">
        <v>13.62</v>
      </c>
      <c r="BS59" s="3">
        <v>0</v>
      </c>
    </row>
    <row r="60" spans="1:71" s="3" customFormat="1" x14ac:dyDescent="0.25">
      <c r="A60" s="2">
        <v>45741.586805555555</v>
      </c>
      <c r="B60" s="3">
        <v>-2.70000000000072</v>
      </c>
      <c r="C60">
        <v>35850</v>
      </c>
      <c r="D60">
        <v>121</v>
      </c>
      <c r="E60">
        <v>46800</v>
      </c>
      <c r="F60">
        <v>61875</v>
      </c>
      <c r="G60">
        <v>-2</v>
      </c>
      <c r="H60">
        <v>-1.95000000000072</v>
      </c>
      <c r="I60">
        <v>-15075</v>
      </c>
      <c r="J60">
        <v>-483.90000000037202</v>
      </c>
      <c r="K60">
        <v>22050</v>
      </c>
      <c r="L60">
        <v>-37725</v>
      </c>
      <c r="M60" t="s">
        <v>22</v>
      </c>
      <c r="N60">
        <v>45000</v>
      </c>
      <c r="O60" t="s">
        <v>22</v>
      </c>
      <c r="P60">
        <v>23759.33</v>
      </c>
      <c r="Q60">
        <v>23766.95</v>
      </c>
      <c r="R60">
        <v>23764.25</v>
      </c>
      <c r="S60" s="3">
        <v>23770.55</v>
      </c>
      <c r="T60" s="3">
        <v>23757.4</v>
      </c>
      <c r="U60" s="3">
        <f t="shared" si="0"/>
        <v>2.7000000000007276</v>
      </c>
      <c r="V60" s="1">
        <v>45741.586805555555</v>
      </c>
      <c r="W60">
        <v>-2.5</v>
      </c>
      <c r="X60">
        <v>1431075</v>
      </c>
      <c r="Y60">
        <v>182</v>
      </c>
      <c r="Z60">
        <v>387975</v>
      </c>
      <c r="AA60">
        <v>402075</v>
      </c>
      <c r="AB60">
        <v>-2.30000000000001</v>
      </c>
      <c r="AC60">
        <v>-2.3999999999999901</v>
      </c>
      <c r="AD60">
        <v>-14100</v>
      </c>
      <c r="AE60">
        <v>-74.700000000004295</v>
      </c>
      <c r="AF60">
        <v>45375</v>
      </c>
      <c r="AG60">
        <v>63150</v>
      </c>
      <c r="AH60" t="s">
        <v>21</v>
      </c>
      <c r="AI60">
        <v>43950</v>
      </c>
      <c r="AJ60" t="s">
        <v>20</v>
      </c>
      <c r="AK60">
        <v>94.95</v>
      </c>
      <c r="AL60">
        <v>92.45</v>
      </c>
      <c r="AM60">
        <v>94.95</v>
      </c>
      <c r="AN60">
        <v>89.85</v>
      </c>
      <c r="AO60">
        <v>113.64</v>
      </c>
      <c r="AP60" s="1">
        <v>45741.586805555555</v>
      </c>
      <c r="AQ60">
        <v>2.30000000000001</v>
      </c>
      <c r="AR60">
        <v>628725</v>
      </c>
      <c r="AS60">
        <v>182</v>
      </c>
      <c r="AT60">
        <v>205650</v>
      </c>
      <c r="AU60">
        <v>178050</v>
      </c>
      <c r="AV60">
        <v>2.0999999999999899</v>
      </c>
      <c r="AW60">
        <v>2.1</v>
      </c>
      <c r="AX60">
        <v>27600</v>
      </c>
      <c r="AY60">
        <v>-90.400000000008703</v>
      </c>
      <c r="AZ60">
        <v>37200</v>
      </c>
      <c r="BA60">
        <v>31200</v>
      </c>
      <c r="BB60" t="s">
        <v>22</v>
      </c>
      <c r="BC60">
        <v>13200</v>
      </c>
      <c r="BD60" t="s">
        <v>21</v>
      </c>
      <c r="BE60">
        <v>123.1</v>
      </c>
      <c r="BF60">
        <v>125.4</v>
      </c>
      <c r="BG60">
        <v>128.9</v>
      </c>
      <c r="BH60">
        <v>122.85</v>
      </c>
      <c r="BI60">
        <v>144.11000000000001</v>
      </c>
      <c r="BJ60" s="1">
        <v>45741.586805555555</v>
      </c>
      <c r="BK60">
        <v>1742891700</v>
      </c>
      <c r="BL60" s="3">
        <f t="shared" si="1"/>
        <v>8.0000000000000071E-2</v>
      </c>
      <c r="BM60" s="3">
        <f t="shared" si="2"/>
        <v>1.4573863636367224E-2</v>
      </c>
      <c r="BN60" s="3">
        <f t="shared" si="3"/>
        <v>1</v>
      </c>
      <c r="BO60" s="3">
        <v>13.61</v>
      </c>
      <c r="BP60" s="3">
        <v>13.69</v>
      </c>
      <c r="BQ60" s="3">
        <v>13.61</v>
      </c>
      <c r="BR60" s="3">
        <v>13.69</v>
      </c>
      <c r="BS60" s="3">
        <v>0</v>
      </c>
    </row>
    <row r="61" spans="1:71" x14ac:dyDescent="0.25">
      <c r="A61" s="1">
        <v>45741.590277777781</v>
      </c>
      <c r="B61">
        <v>7.75</v>
      </c>
      <c r="C61">
        <v>57750</v>
      </c>
      <c r="D61">
        <v>131</v>
      </c>
      <c r="E61">
        <v>46125</v>
      </c>
      <c r="F61">
        <v>124125</v>
      </c>
      <c r="G61">
        <v>6</v>
      </c>
      <c r="H61">
        <v>7</v>
      </c>
      <c r="I61">
        <v>-78000</v>
      </c>
      <c r="J61">
        <v>-395.90000000037202</v>
      </c>
      <c r="K61">
        <v>30450</v>
      </c>
      <c r="L61">
        <v>-8550</v>
      </c>
      <c r="M61" t="s">
        <v>21</v>
      </c>
      <c r="N61">
        <v>-11400</v>
      </c>
      <c r="O61" t="s">
        <v>21</v>
      </c>
      <c r="P61">
        <v>23759.41</v>
      </c>
      <c r="Q61">
        <v>23764.25</v>
      </c>
      <c r="R61">
        <v>23772</v>
      </c>
      <c r="S61">
        <v>23774.3</v>
      </c>
      <c r="T61">
        <v>23760</v>
      </c>
      <c r="U61">
        <f t="shared" si="0"/>
        <v>7.75</v>
      </c>
      <c r="V61" s="1">
        <v>45741.590277777781</v>
      </c>
      <c r="W61">
        <v>4.1500000000000004</v>
      </c>
      <c r="X61">
        <v>1877250</v>
      </c>
      <c r="Y61">
        <v>182</v>
      </c>
      <c r="Z61">
        <v>367050</v>
      </c>
      <c r="AA61">
        <v>498975</v>
      </c>
      <c r="AB61">
        <v>3.75</v>
      </c>
      <c r="AC61">
        <v>3.7999999999999901</v>
      </c>
      <c r="AD61">
        <v>-131925</v>
      </c>
      <c r="AE61">
        <v>-77.349999999998502</v>
      </c>
      <c r="AF61">
        <v>45900</v>
      </c>
      <c r="AG61">
        <v>675</v>
      </c>
      <c r="AH61" t="s">
        <v>22</v>
      </c>
      <c r="AI61">
        <v>-27825</v>
      </c>
      <c r="AJ61" t="s">
        <v>21</v>
      </c>
      <c r="AK61">
        <v>92.25</v>
      </c>
      <c r="AL61">
        <v>96.4</v>
      </c>
      <c r="AM61">
        <v>98.3</v>
      </c>
      <c r="AN61">
        <v>90.65</v>
      </c>
      <c r="AO61">
        <v>113.47</v>
      </c>
      <c r="AP61" s="1">
        <v>45741.590277777781</v>
      </c>
      <c r="AQ61">
        <v>-4.7</v>
      </c>
      <c r="AR61">
        <v>722175</v>
      </c>
      <c r="AS61">
        <v>182</v>
      </c>
      <c r="AT61">
        <v>169425</v>
      </c>
      <c r="AU61">
        <v>210075</v>
      </c>
      <c r="AV61">
        <v>-4.5500000000000096</v>
      </c>
      <c r="AW61">
        <v>-4.5</v>
      </c>
      <c r="AX61">
        <v>-40650</v>
      </c>
      <c r="AY61">
        <v>-81.600000000005807</v>
      </c>
      <c r="AZ61">
        <v>37500</v>
      </c>
      <c r="BA61">
        <v>-17100</v>
      </c>
      <c r="BB61" t="s">
        <v>21</v>
      </c>
      <c r="BC61">
        <v>22425</v>
      </c>
      <c r="BD61" t="s">
        <v>20</v>
      </c>
      <c r="BE61">
        <v>125.3</v>
      </c>
      <c r="BF61">
        <v>120.6</v>
      </c>
      <c r="BG61">
        <v>127.9</v>
      </c>
      <c r="BH61">
        <v>118.35</v>
      </c>
      <c r="BI61">
        <v>143.99</v>
      </c>
      <c r="BJ61" s="1">
        <v>45741.590277777781</v>
      </c>
      <c r="BK61">
        <v>1742892000</v>
      </c>
      <c r="BL61">
        <f t="shared" si="1"/>
        <v>0</v>
      </c>
      <c r="BM61">
        <f t="shared" si="2"/>
        <v>4.1832386363635392E-2</v>
      </c>
      <c r="BN61" s="3">
        <f t="shared" si="3"/>
        <v>-1</v>
      </c>
      <c r="BO61">
        <v>13.69</v>
      </c>
      <c r="BP61">
        <v>13.69</v>
      </c>
      <c r="BQ61">
        <v>13.64</v>
      </c>
      <c r="BR61">
        <v>13.69</v>
      </c>
      <c r="BS61">
        <v>0</v>
      </c>
    </row>
    <row r="62" spans="1:71" x14ac:dyDescent="0.25">
      <c r="A62" s="1">
        <v>45741.59375</v>
      </c>
      <c r="B62">
        <v>-16.099999999998499</v>
      </c>
      <c r="C62">
        <v>60375</v>
      </c>
      <c r="D62">
        <v>140</v>
      </c>
      <c r="E62">
        <v>107250</v>
      </c>
      <c r="F62">
        <v>81000</v>
      </c>
      <c r="G62">
        <v>-14.5499999999992</v>
      </c>
      <c r="H62">
        <v>-14.8499999999985</v>
      </c>
      <c r="I62">
        <v>26250</v>
      </c>
      <c r="J62">
        <v>-443.95000000018598</v>
      </c>
      <c r="K62">
        <v>28725</v>
      </c>
      <c r="L62">
        <v>-225</v>
      </c>
      <c r="M62" t="s">
        <v>20</v>
      </c>
      <c r="N62">
        <v>2550</v>
      </c>
      <c r="O62" t="s">
        <v>20</v>
      </c>
      <c r="P62">
        <v>23759.5</v>
      </c>
      <c r="Q62">
        <v>23772</v>
      </c>
      <c r="R62">
        <v>23755.9</v>
      </c>
      <c r="S62">
        <v>23778.5</v>
      </c>
      <c r="T62">
        <v>23755.599999999999</v>
      </c>
      <c r="U62">
        <f t="shared" si="0"/>
        <v>16.099999999998545</v>
      </c>
      <c r="V62" s="1">
        <v>45741.59375</v>
      </c>
      <c r="W62">
        <v>-7.7999999999999901</v>
      </c>
      <c r="X62">
        <v>2239575</v>
      </c>
      <c r="Y62">
        <v>181</v>
      </c>
      <c r="Z62">
        <v>471525</v>
      </c>
      <c r="AA62">
        <v>461925</v>
      </c>
      <c r="AB62">
        <v>-8</v>
      </c>
      <c r="AC62">
        <v>-8</v>
      </c>
      <c r="AD62">
        <v>9600</v>
      </c>
      <c r="AE62">
        <v>-76.550000000002896</v>
      </c>
      <c r="AF62">
        <v>46125</v>
      </c>
      <c r="AG62">
        <v>-36900</v>
      </c>
      <c r="AH62" t="s">
        <v>22</v>
      </c>
      <c r="AI62">
        <v>99450</v>
      </c>
      <c r="AJ62" t="s">
        <v>22</v>
      </c>
      <c r="AK62">
        <v>96.35</v>
      </c>
      <c r="AL62">
        <v>88.55</v>
      </c>
      <c r="AM62">
        <v>98.15</v>
      </c>
      <c r="AN62">
        <v>86.5</v>
      </c>
      <c r="AO62">
        <v>113.25</v>
      </c>
      <c r="AP62" s="1">
        <v>45741.59375</v>
      </c>
      <c r="AQ62">
        <v>7.15</v>
      </c>
      <c r="AR62">
        <v>1130850</v>
      </c>
      <c r="AS62">
        <v>181</v>
      </c>
      <c r="AT62">
        <v>219750</v>
      </c>
      <c r="AU62">
        <v>258150</v>
      </c>
      <c r="AV62">
        <v>7.15</v>
      </c>
      <c r="AW62">
        <v>7.2</v>
      </c>
      <c r="AX62">
        <v>-38400</v>
      </c>
      <c r="AY62">
        <v>-90.000000000007205</v>
      </c>
      <c r="AZ62">
        <v>41700</v>
      </c>
      <c r="BA62">
        <v>-2700</v>
      </c>
      <c r="BB62" t="s">
        <v>20</v>
      </c>
      <c r="BC62">
        <v>-42900</v>
      </c>
      <c r="BD62" t="s">
        <v>22</v>
      </c>
      <c r="BE62">
        <v>120.5</v>
      </c>
      <c r="BF62">
        <v>127.65</v>
      </c>
      <c r="BG62">
        <v>129.05000000000001</v>
      </c>
      <c r="BH62">
        <v>117.5</v>
      </c>
      <c r="BI62">
        <v>143.80000000000001</v>
      </c>
      <c r="BJ62" s="1">
        <v>45741.59375</v>
      </c>
      <c r="BK62">
        <v>1742892300</v>
      </c>
      <c r="BL62">
        <f t="shared" si="1"/>
        <v>2.9999999999999361E-2</v>
      </c>
      <c r="BM62">
        <f t="shared" si="2"/>
        <v>8.6903409090899206E-2</v>
      </c>
      <c r="BN62" s="3">
        <f t="shared" si="3"/>
        <v>-1</v>
      </c>
      <c r="BO62">
        <v>13.7</v>
      </c>
      <c r="BP62">
        <v>13.73</v>
      </c>
      <c r="BQ62">
        <v>13.66</v>
      </c>
      <c r="BR62">
        <v>13.67</v>
      </c>
      <c r="BS62">
        <v>0</v>
      </c>
    </row>
    <row r="63" spans="1:71" x14ac:dyDescent="0.25">
      <c r="A63" s="1">
        <v>45741.597222222219</v>
      </c>
      <c r="B63">
        <v>-10.3000000000029</v>
      </c>
      <c r="C63">
        <v>68775</v>
      </c>
      <c r="D63">
        <v>138</v>
      </c>
      <c r="E63">
        <v>53250</v>
      </c>
      <c r="F63">
        <v>72450</v>
      </c>
      <c r="G63">
        <v>-7.8500000000021801</v>
      </c>
      <c r="H63">
        <v>-7.8499999999985404</v>
      </c>
      <c r="I63">
        <v>-19200</v>
      </c>
      <c r="J63">
        <v>-571.84999999869603</v>
      </c>
      <c r="K63">
        <v>27225</v>
      </c>
      <c r="L63">
        <v>14250</v>
      </c>
      <c r="M63" t="s">
        <v>20</v>
      </c>
      <c r="N63">
        <v>-14025</v>
      </c>
      <c r="O63" t="s">
        <v>21</v>
      </c>
      <c r="P63">
        <v>23759.39</v>
      </c>
      <c r="Q63">
        <v>23755.9</v>
      </c>
      <c r="R63">
        <v>23745.599999999999</v>
      </c>
      <c r="S63">
        <v>23760.95</v>
      </c>
      <c r="T63">
        <v>23740</v>
      </c>
      <c r="U63">
        <f t="shared" si="0"/>
        <v>10.30000000000291</v>
      </c>
      <c r="V63" s="1">
        <v>45741.597222222219</v>
      </c>
      <c r="W63">
        <v>-4.6499999999999897</v>
      </c>
      <c r="X63">
        <v>2250825</v>
      </c>
      <c r="Y63">
        <v>181</v>
      </c>
      <c r="Z63">
        <v>466650</v>
      </c>
      <c r="AA63">
        <v>372150</v>
      </c>
      <c r="AB63">
        <v>-4.2999999999999901</v>
      </c>
      <c r="AC63">
        <v>-4.2999999999999901</v>
      </c>
      <c r="AD63">
        <v>94500</v>
      </c>
      <c r="AE63">
        <v>-69.100000000005807</v>
      </c>
      <c r="AF63">
        <v>48075</v>
      </c>
      <c r="AG63">
        <v>-22125</v>
      </c>
      <c r="AH63" t="s">
        <v>20</v>
      </c>
      <c r="AI63">
        <v>70500</v>
      </c>
      <c r="AJ63" t="s">
        <v>20</v>
      </c>
      <c r="AK63">
        <v>88.6</v>
      </c>
      <c r="AL63">
        <v>83.95</v>
      </c>
      <c r="AM63">
        <v>90.75</v>
      </c>
      <c r="AN63">
        <v>81.8</v>
      </c>
      <c r="AO63">
        <v>112.95</v>
      </c>
      <c r="AP63" s="1">
        <v>45741.597222222219</v>
      </c>
      <c r="AQ63">
        <v>5.5999999999999899</v>
      </c>
      <c r="AR63">
        <v>1301175</v>
      </c>
      <c r="AS63">
        <v>181</v>
      </c>
      <c r="AT63">
        <v>207450</v>
      </c>
      <c r="AU63">
        <v>216675</v>
      </c>
      <c r="AV63">
        <v>5.1499999999999897</v>
      </c>
      <c r="AW63">
        <v>5.1499999999999897</v>
      </c>
      <c r="AX63">
        <v>-9225</v>
      </c>
      <c r="AY63">
        <v>-102</v>
      </c>
      <c r="AZ63">
        <v>43125</v>
      </c>
      <c r="BA63">
        <v>19875</v>
      </c>
      <c r="BB63" t="s">
        <v>22</v>
      </c>
      <c r="BC63">
        <v>-5100</v>
      </c>
      <c r="BD63" t="s">
        <v>21</v>
      </c>
      <c r="BE63">
        <v>127.85</v>
      </c>
      <c r="BF63">
        <v>133.44999999999999</v>
      </c>
      <c r="BG63">
        <v>136.5</v>
      </c>
      <c r="BH63">
        <v>125</v>
      </c>
      <c r="BI63">
        <v>143.68</v>
      </c>
      <c r="BJ63" s="1">
        <v>45741.597222222219</v>
      </c>
      <c r="BK63">
        <v>1742892600</v>
      </c>
      <c r="BL63">
        <f t="shared" si="1"/>
        <v>1.9999999999999574E-2</v>
      </c>
      <c r="BM63">
        <f t="shared" si="2"/>
        <v>5.559659090910532E-2</v>
      </c>
      <c r="BN63" s="3">
        <f t="shared" si="3"/>
        <v>-1</v>
      </c>
      <c r="BO63">
        <v>13.67</v>
      </c>
      <c r="BP63">
        <v>13.76</v>
      </c>
      <c r="BQ63">
        <v>13.65</v>
      </c>
      <c r="BR63">
        <v>13.65</v>
      </c>
      <c r="BS63">
        <v>0</v>
      </c>
    </row>
    <row r="64" spans="1:71" x14ac:dyDescent="0.25">
      <c r="A64" s="1">
        <v>45741.600694444445</v>
      </c>
      <c r="B64">
        <v>-9.5999999999985395</v>
      </c>
      <c r="C64">
        <v>61725</v>
      </c>
      <c r="D64">
        <v>124</v>
      </c>
      <c r="E64">
        <v>48225</v>
      </c>
      <c r="F64">
        <v>132525</v>
      </c>
      <c r="G64">
        <v>-9.5499999999992706</v>
      </c>
      <c r="H64">
        <v>-11</v>
      </c>
      <c r="I64">
        <v>-84300</v>
      </c>
      <c r="J64">
        <v>-673.45000000018604</v>
      </c>
      <c r="K64">
        <v>24975</v>
      </c>
      <c r="L64">
        <v>33150</v>
      </c>
      <c r="M64" t="s">
        <v>20</v>
      </c>
      <c r="N64">
        <v>-150</v>
      </c>
      <c r="O64" t="s">
        <v>20</v>
      </c>
      <c r="P64">
        <v>23759.24</v>
      </c>
      <c r="Q64">
        <v>23745.599999999999</v>
      </c>
      <c r="R64">
        <v>23736</v>
      </c>
      <c r="S64">
        <v>23751.35</v>
      </c>
      <c r="T64">
        <v>23732.7</v>
      </c>
      <c r="U64">
        <f t="shared" si="0"/>
        <v>9.5999999999985448</v>
      </c>
      <c r="V64" s="1">
        <v>45741.600694444445</v>
      </c>
      <c r="W64">
        <v>-6</v>
      </c>
      <c r="X64">
        <v>1823925</v>
      </c>
      <c r="Y64">
        <v>181</v>
      </c>
      <c r="Z64">
        <v>370650</v>
      </c>
      <c r="AA64">
        <v>473250</v>
      </c>
      <c r="AB64">
        <v>-5.8000000000000096</v>
      </c>
      <c r="AC64">
        <v>-5.7999999999999901</v>
      </c>
      <c r="AD64">
        <v>-102600</v>
      </c>
      <c r="AE64">
        <v>-67.549999999988302</v>
      </c>
      <c r="AF64">
        <v>46875</v>
      </c>
      <c r="AG64">
        <v>-28650</v>
      </c>
      <c r="AH64" t="s">
        <v>22</v>
      </c>
      <c r="AI64">
        <v>14100</v>
      </c>
      <c r="AJ64" t="s">
        <v>20</v>
      </c>
      <c r="AK64">
        <v>83.35</v>
      </c>
      <c r="AL64">
        <v>77.349999999999994</v>
      </c>
      <c r="AM64">
        <v>85.65</v>
      </c>
      <c r="AN64">
        <v>77.349999999999994</v>
      </c>
      <c r="AO64">
        <v>112.67</v>
      </c>
      <c r="AP64" s="1">
        <v>45741.600694444445</v>
      </c>
      <c r="AQ64">
        <v>5.15</v>
      </c>
      <c r="AR64">
        <v>1047375</v>
      </c>
      <c r="AS64">
        <v>181</v>
      </c>
      <c r="AT64">
        <v>234000</v>
      </c>
      <c r="AU64">
        <v>198750</v>
      </c>
      <c r="AV64">
        <v>5.15</v>
      </c>
      <c r="AW64">
        <v>5.15</v>
      </c>
      <c r="AX64">
        <v>35250</v>
      </c>
      <c r="AY64">
        <v>-99.749999999992696</v>
      </c>
      <c r="AZ64">
        <v>41400</v>
      </c>
      <c r="BA64">
        <v>-7950</v>
      </c>
      <c r="BB64" t="s">
        <v>21</v>
      </c>
      <c r="BC64">
        <v>-35175</v>
      </c>
      <c r="BD64" t="s">
        <v>22</v>
      </c>
      <c r="BE64">
        <v>134.15</v>
      </c>
      <c r="BF64">
        <v>139.30000000000001</v>
      </c>
      <c r="BG64">
        <v>139.4</v>
      </c>
      <c r="BH64">
        <v>130.5</v>
      </c>
      <c r="BI64">
        <v>143.62</v>
      </c>
      <c r="BJ64" s="1">
        <v>45741.600694444445</v>
      </c>
      <c r="BK64">
        <v>1742892900</v>
      </c>
      <c r="BL64">
        <f t="shared" si="1"/>
        <v>5.0000000000000711E-2</v>
      </c>
      <c r="BM64">
        <f t="shared" si="2"/>
        <v>5.1818181818172757E-2</v>
      </c>
      <c r="BN64" s="3">
        <f t="shared" si="3"/>
        <v>-1</v>
      </c>
      <c r="BO64">
        <v>13.66</v>
      </c>
      <c r="BP64">
        <v>13.66</v>
      </c>
      <c r="BQ64">
        <v>13.6</v>
      </c>
      <c r="BR64">
        <v>13.61</v>
      </c>
      <c r="BS64">
        <v>0</v>
      </c>
    </row>
    <row r="65" spans="1:71" x14ac:dyDescent="0.25">
      <c r="A65" s="1">
        <v>45741.604166666664</v>
      </c>
      <c r="B65">
        <v>20.849999999998499</v>
      </c>
      <c r="C65">
        <v>58500</v>
      </c>
      <c r="D65">
        <v>139</v>
      </c>
      <c r="E65">
        <v>47100</v>
      </c>
      <c r="F65">
        <v>89625</v>
      </c>
      <c r="G65">
        <v>20.599999999998499</v>
      </c>
      <c r="H65">
        <v>15.8499999999985</v>
      </c>
      <c r="I65">
        <v>-42525</v>
      </c>
      <c r="J65">
        <v>-634.44999999925403</v>
      </c>
      <c r="K65">
        <v>21375</v>
      </c>
      <c r="L65">
        <v>-33675</v>
      </c>
      <c r="M65" t="s">
        <v>22</v>
      </c>
      <c r="N65">
        <v>6900</v>
      </c>
      <c r="O65" t="s">
        <v>20</v>
      </c>
      <c r="P65">
        <v>23759.13</v>
      </c>
      <c r="Q65">
        <v>23737</v>
      </c>
      <c r="R65">
        <v>23757.85</v>
      </c>
      <c r="S65">
        <v>23757.85</v>
      </c>
      <c r="T65">
        <v>23735.9</v>
      </c>
      <c r="U65">
        <f t="shared" si="0"/>
        <v>20.849999999998545</v>
      </c>
      <c r="V65" s="1">
        <v>45741.604166666664</v>
      </c>
      <c r="W65">
        <v>8.8499999999999908</v>
      </c>
      <c r="X65">
        <v>1814250</v>
      </c>
      <c r="Y65">
        <v>180</v>
      </c>
      <c r="Z65">
        <v>357150</v>
      </c>
      <c r="AA65">
        <v>472425</v>
      </c>
      <c r="AB65">
        <v>9.0499999999999901</v>
      </c>
      <c r="AC65">
        <v>8.8999999999999897</v>
      </c>
      <c r="AD65">
        <v>-115275</v>
      </c>
      <c r="AE65">
        <v>-62.5</v>
      </c>
      <c r="AF65">
        <v>48450</v>
      </c>
      <c r="AG65">
        <v>123975</v>
      </c>
      <c r="AH65" t="s">
        <v>21</v>
      </c>
      <c r="AI65">
        <v>-102300</v>
      </c>
      <c r="AJ65" t="s">
        <v>21</v>
      </c>
      <c r="AK65">
        <v>77.900000000000006</v>
      </c>
      <c r="AL65">
        <v>86.75</v>
      </c>
      <c r="AM65">
        <v>86.9</v>
      </c>
      <c r="AN65">
        <v>77.900000000000006</v>
      </c>
      <c r="AO65">
        <v>112.41</v>
      </c>
      <c r="AP65" s="1">
        <v>45741.604166666664</v>
      </c>
      <c r="AQ65">
        <v>-15.25</v>
      </c>
      <c r="AR65">
        <v>987825</v>
      </c>
      <c r="AS65">
        <v>180</v>
      </c>
      <c r="AT65">
        <v>201525</v>
      </c>
      <c r="AU65">
        <v>167400</v>
      </c>
      <c r="AV65">
        <v>-15.55</v>
      </c>
      <c r="AW65">
        <v>-15.5999999999999</v>
      </c>
      <c r="AX65">
        <v>34125</v>
      </c>
      <c r="AY65">
        <v>-95.25</v>
      </c>
      <c r="AZ65">
        <v>40575</v>
      </c>
      <c r="BA65">
        <v>-68175</v>
      </c>
      <c r="BB65" t="s">
        <v>21</v>
      </c>
      <c r="BC65">
        <v>45675</v>
      </c>
      <c r="BD65" t="s">
        <v>21</v>
      </c>
      <c r="BE65">
        <v>138.9</v>
      </c>
      <c r="BF65">
        <v>123.65</v>
      </c>
      <c r="BG65">
        <v>138.9</v>
      </c>
      <c r="BH65">
        <v>123</v>
      </c>
      <c r="BI65">
        <v>143.53</v>
      </c>
      <c r="BJ65" s="1">
        <v>45741.604166666664</v>
      </c>
      <c r="BK65">
        <v>1742893200</v>
      </c>
      <c r="BL65">
        <f t="shared" si="1"/>
        <v>2.9999999999999361E-2</v>
      </c>
      <c r="BM65">
        <f t="shared" si="2"/>
        <v>0.11254261363635315</v>
      </c>
      <c r="BN65" s="3">
        <f t="shared" si="3"/>
        <v>-1</v>
      </c>
      <c r="BO65">
        <v>13.61</v>
      </c>
      <c r="BP65">
        <v>13.61</v>
      </c>
      <c r="BQ65">
        <v>13.51</v>
      </c>
      <c r="BR65">
        <v>13.58</v>
      </c>
      <c r="BS65">
        <v>0</v>
      </c>
    </row>
    <row r="66" spans="1:71" s="3" customFormat="1" x14ac:dyDescent="0.25">
      <c r="A66" s="2">
        <v>45741.607638888891</v>
      </c>
      <c r="B66" s="3">
        <v>-6.5499999999992697</v>
      </c>
      <c r="C66">
        <v>29475</v>
      </c>
      <c r="D66">
        <v>106</v>
      </c>
      <c r="E66">
        <v>34275</v>
      </c>
      <c r="F66">
        <v>69600</v>
      </c>
      <c r="G66">
        <v>-6.2000000000007196</v>
      </c>
      <c r="H66">
        <v>-6.0499999999992697</v>
      </c>
      <c r="I66">
        <v>-35325</v>
      </c>
      <c r="J66">
        <v>-373.50000000186202</v>
      </c>
      <c r="K66">
        <v>25125</v>
      </c>
      <c r="L66">
        <v>19425</v>
      </c>
      <c r="M66" t="s">
        <v>21</v>
      </c>
      <c r="N66">
        <v>1350</v>
      </c>
      <c r="O66" t="s">
        <v>21</v>
      </c>
      <c r="P66">
        <v>23759.1</v>
      </c>
      <c r="Q66">
        <v>23757.85</v>
      </c>
      <c r="R66">
        <v>23751.3</v>
      </c>
      <c r="S66" s="3">
        <v>23760</v>
      </c>
      <c r="T66" s="3">
        <v>23746.75</v>
      </c>
      <c r="U66" s="3">
        <f t="shared" si="0"/>
        <v>6.5499999999992724</v>
      </c>
      <c r="V66" s="1">
        <v>45741.607638888891</v>
      </c>
      <c r="W66">
        <v>-2.2000000000000002</v>
      </c>
      <c r="X66">
        <v>1214775</v>
      </c>
      <c r="Y66">
        <v>180</v>
      </c>
      <c r="Z66">
        <v>411300</v>
      </c>
      <c r="AA66">
        <v>458625</v>
      </c>
      <c r="AB66">
        <v>-1.7</v>
      </c>
      <c r="AC66">
        <v>-1.75</v>
      </c>
      <c r="AD66">
        <v>-47325</v>
      </c>
      <c r="AE66">
        <v>-69.350000000005807</v>
      </c>
      <c r="AF66">
        <v>48675</v>
      </c>
      <c r="AG66">
        <v>-63450</v>
      </c>
      <c r="AH66" t="s">
        <v>22</v>
      </c>
      <c r="AI66">
        <v>70275</v>
      </c>
      <c r="AJ66" t="s">
        <v>22</v>
      </c>
      <c r="AK66">
        <v>86.7</v>
      </c>
      <c r="AL66">
        <v>84.5</v>
      </c>
      <c r="AM66">
        <v>86.8</v>
      </c>
      <c r="AN66">
        <v>81.3</v>
      </c>
      <c r="AO66">
        <v>112.25</v>
      </c>
      <c r="AP66" s="1">
        <v>45741.607638888891</v>
      </c>
      <c r="AQ66">
        <v>3.95</v>
      </c>
      <c r="AR66">
        <v>647475</v>
      </c>
      <c r="AS66">
        <v>179</v>
      </c>
      <c r="AT66">
        <v>192900</v>
      </c>
      <c r="AU66">
        <v>225375</v>
      </c>
      <c r="AV66">
        <v>3.8999999999999901</v>
      </c>
      <c r="AW66">
        <v>3.8499999999999899</v>
      </c>
      <c r="AX66">
        <v>-32475</v>
      </c>
      <c r="AY66">
        <v>-86.550000000002896</v>
      </c>
      <c r="AZ66">
        <v>40275</v>
      </c>
      <c r="BA66">
        <v>42075</v>
      </c>
      <c r="BB66" t="s">
        <v>22</v>
      </c>
      <c r="BC66">
        <v>6825</v>
      </c>
      <c r="BD66" t="s">
        <v>20</v>
      </c>
      <c r="BE66">
        <v>123.75</v>
      </c>
      <c r="BF66">
        <v>127.7</v>
      </c>
      <c r="BG66">
        <v>132.65</v>
      </c>
      <c r="BH66">
        <v>123.5</v>
      </c>
      <c r="BI66">
        <v>143.44999999999999</v>
      </c>
      <c r="BJ66" s="1">
        <v>45741.607638888891</v>
      </c>
      <c r="BK66">
        <v>1742893500</v>
      </c>
      <c r="BL66" s="3">
        <f t="shared" si="1"/>
        <v>4.9999999999998934E-2</v>
      </c>
      <c r="BM66" s="3">
        <f t="shared" si="2"/>
        <v>3.5355113636358883E-2</v>
      </c>
      <c r="BN66" s="3">
        <f t="shared" si="3"/>
        <v>1</v>
      </c>
      <c r="BO66" s="3">
        <v>13.57</v>
      </c>
      <c r="BP66" s="3">
        <v>13.66</v>
      </c>
      <c r="BQ66" s="3">
        <v>13.56</v>
      </c>
      <c r="BR66" s="3">
        <v>13.62</v>
      </c>
      <c r="BS66" s="3">
        <v>0</v>
      </c>
    </row>
    <row r="67" spans="1:71" x14ac:dyDescent="0.25">
      <c r="A67" s="1">
        <v>45741.611111111109</v>
      </c>
      <c r="B67">
        <v>-21.299999999999201</v>
      </c>
      <c r="C67">
        <v>48450</v>
      </c>
      <c r="D67">
        <v>135</v>
      </c>
      <c r="E67">
        <v>45750</v>
      </c>
      <c r="F67">
        <v>82800</v>
      </c>
      <c r="G67">
        <v>-21.299999999999201</v>
      </c>
      <c r="H67">
        <v>-22.5500000000029</v>
      </c>
      <c r="I67">
        <v>-37050</v>
      </c>
      <c r="J67">
        <v>-390.94999999925398</v>
      </c>
      <c r="K67">
        <v>26775</v>
      </c>
      <c r="L67">
        <v>-15450</v>
      </c>
      <c r="M67" t="s">
        <v>22</v>
      </c>
      <c r="N67">
        <v>18975</v>
      </c>
      <c r="O67" t="s">
        <v>20</v>
      </c>
      <c r="P67">
        <v>23759.01</v>
      </c>
      <c r="Q67">
        <v>23751.3</v>
      </c>
      <c r="R67">
        <v>23730</v>
      </c>
      <c r="S67">
        <v>23752.25</v>
      </c>
      <c r="T67">
        <v>23730</v>
      </c>
      <c r="U67">
        <f t="shared" ref="U67:U76" si="4">ABS(Q67-R67)</f>
        <v>21.299999999999272</v>
      </c>
      <c r="V67" s="1">
        <v>45741.611111111109</v>
      </c>
      <c r="W67">
        <v>-8.6999999999999993</v>
      </c>
      <c r="X67">
        <v>1562175</v>
      </c>
      <c r="Y67">
        <v>180</v>
      </c>
      <c r="Z67">
        <v>485100</v>
      </c>
      <c r="AA67">
        <v>409500</v>
      </c>
      <c r="AB67">
        <v>-8.4499999999999993</v>
      </c>
      <c r="AC67">
        <v>-8.5</v>
      </c>
      <c r="AD67">
        <v>75600</v>
      </c>
      <c r="AE67">
        <v>-65.5</v>
      </c>
      <c r="AF67">
        <v>50175</v>
      </c>
      <c r="AG67">
        <v>-128700</v>
      </c>
      <c r="AH67" t="s">
        <v>22</v>
      </c>
      <c r="AI67">
        <v>39900</v>
      </c>
      <c r="AJ67" t="s">
        <v>20</v>
      </c>
      <c r="AK67">
        <v>84.45</v>
      </c>
      <c r="AL67">
        <v>75.75</v>
      </c>
      <c r="AM67">
        <v>85.25</v>
      </c>
      <c r="AN67">
        <v>75.55</v>
      </c>
      <c r="AO67">
        <v>112.02</v>
      </c>
      <c r="AP67" s="1">
        <v>45741.611111111109</v>
      </c>
      <c r="AQ67">
        <v>14.5999999999999</v>
      </c>
      <c r="AR67">
        <v>799425</v>
      </c>
      <c r="AS67">
        <v>180</v>
      </c>
      <c r="AT67">
        <v>241200</v>
      </c>
      <c r="AU67">
        <v>258900</v>
      </c>
      <c r="AV67">
        <v>14.4</v>
      </c>
      <c r="AW67">
        <v>14.5</v>
      </c>
      <c r="AX67">
        <v>-17700</v>
      </c>
      <c r="AY67">
        <v>-101.450000000004</v>
      </c>
      <c r="AZ67">
        <v>42150</v>
      </c>
      <c r="BA67">
        <v>-40050</v>
      </c>
      <c r="BB67" t="s">
        <v>21</v>
      </c>
      <c r="BC67">
        <v>-103425</v>
      </c>
      <c r="BD67" t="s">
        <v>22</v>
      </c>
      <c r="BE67">
        <v>128.5</v>
      </c>
      <c r="BF67">
        <v>143.1</v>
      </c>
      <c r="BG67">
        <v>144.5</v>
      </c>
      <c r="BH67">
        <v>128.25</v>
      </c>
      <c r="BI67">
        <v>143.38999999999999</v>
      </c>
      <c r="BJ67" s="1">
        <v>45741.611111111109</v>
      </c>
      <c r="BK67">
        <v>1742893800</v>
      </c>
      <c r="BL67">
        <f t="shared" ref="BL67:BL76" si="5">ABS(BO67-BR67)</f>
        <v>9.9999999999997868E-3</v>
      </c>
      <c r="BM67">
        <f t="shared" si="2"/>
        <v>0.11497159090908429</v>
      </c>
      <c r="BN67" s="3">
        <f t="shared" si="3"/>
        <v>-1</v>
      </c>
      <c r="BO67">
        <v>13.61</v>
      </c>
      <c r="BP67">
        <v>13.63</v>
      </c>
      <c r="BQ67">
        <v>13.54</v>
      </c>
      <c r="BR67">
        <v>13.6</v>
      </c>
      <c r="BS67">
        <v>0</v>
      </c>
    </row>
    <row r="68" spans="1:71" x14ac:dyDescent="0.25">
      <c r="A68" s="1">
        <v>45741.614583333336</v>
      </c>
      <c r="B68">
        <v>15.7999999999992</v>
      </c>
      <c r="C68">
        <v>52350</v>
      </c>
      <c r="D68">
        <v>134</v>
      </c>
      <c r="E68">
        <v>51750</v>
      </c>
      <c r="F68">
        <v>80850</v>
      </c>
      <c r="G68">
        <v>14.1500000000014</v>
      </c>
      <c r="H68">
        <v>12.350000000002099</v>
      </c>
      <c r="I68">
        <v>-29100</v>
      </c>
      <c r="J68">
        <v>-739.64999999944098</v>
      </c>
      <c r="K68">
        <v>23325</v>
      </c>
      <c r="L68">
        <v>9450</v>
      </c>
      <c r="M68" t="s">
        <v>21</v>
      </c>
      <c r="N68">
        <v>-15000</v>
      </c>
      <c r="O68" t="s">
        <v>21</v>
      </c>
      <c r="P68">
        <v>23758.81</v>
      </c>
      <c r="Q68">
        <v>23727.15</v>
      </c>
      <c r="R68">
        <v>23742.95</v>
      </c>
      <c r="S68">
        <v>23742.95</v>
      </c>
      <c r="T68">
        <v>23722.1</v>
      </c>
      <c r="U68">
        <f t="shared" si="4"/>
        <v>15.799999999999272</v>
      </c>
      <c r="V68" s="1">
        <v>45741.614583333336</v>
      </c>
      <c r="W68">
        <v>3.8499999999999899</v>
      </c>
      <c r="X68">
        <v>1959000</v>
      </c>
      <c r="Y68">
        <v>181</v>
      </c>
      <c r="Z68">
        <v>528825</v>
      </c>
      <c r="AA68">
        <v>471675</v>
      </c>
      <c r="AB68">
        <v>3.75</v>
      </c>
      <c r="AC68">
        <v>3.7999999999999901</v>
      </c>
      <c r="AD68">
        <v>57150</v>
      </c>
      <c r="AE68">
        <v>-68.200000000004295</v>
      </c>
      <c r="AF68">
        <v>49650</v>
      </c>
      <c r="AG68">
        <v>34500</v>
      </c>
      <c r="AH68" t="s">
        <v>21</v>
      </c>
      <c r="AI68">
        <v>-59925</v>
      </c>
      <c r="AJ68" t="s">
        <v>21</v>
      </c>
      <c r="AK68">
        <v>76.400000000000006</v>
      </c>
      <c r="AL68">
        <v>80.25</v>
      </c>
      <c r="AM68">
        <v>80.7</v>
      </c>
      <c r="AN68">
        <v>72.45</v>
      </c>
      <c r="AO68">
        <v>111.7</v>
      </c>
      <c r="AP68" s="1">
        <v>45741.614583333336</v>
      </c>
      <c r="AQ68">
        <v>-7.8000000000000096</v>
      </c>
      <c r="AR68">
        <v>1273875</v>
      </c>
      <c r="AS68">
        <v>181</v>
      </c>
      <c r="AT68">
        <v>241650</v>
      </c>
      <c r="AU68">
        <v>240675</v>
      </c>
      <c r="AV68">
        <v>-7.9</v>
      </c>
      <c r="AW68">
        <v>-7.9500000000000099</v>
      </c>
      <c r="AX68">
        <v>975</v>
      </c>
      <c r="AY68">
        <v>-103.40000000000801</v>
      </c>
      <c r="AZ68">
        <v>45150</v>
      </c>
      <c r="BA68">
        <v>-36750</v>
      </c>
      <c r="BB68" t="s">
        <v>20</v>
      </c>
      <c r="BC68">
        <v>51975</v>
      </c>
      <c r="BD68" t="s">
        <v>21</v>
      </c>
      <c r="BE68">
        <v>141.9</v>
      </c>
      <c r="BF68">
        <v>134.1</v>
      </c>
      <c r="BG68">
        <v>148.69999999999999</v>
      </c>
      <c r="BH68">
        <v>133.15</v>
      </c>
      <c r="BI68">
        <v>143.37</v>
      </c>
      <c r="BJ68" s="1">
        <v>45741.614583333336</v>
      </c>
      <c r="BK68">
        <v>1742894100</v>
      </c>
      <c r="BL68">
        <f t="shared" si="5"/>
        <v>3.9999999999999147E-2</v>
      </c>
      <c r="BM68">
        <f t="shared" si="2"/>
        <v>8.5284090909084981E-2</v>
      </c>
      <c r="BN68" s="3">
        <f t="shared" si="3"/>
        <v>-1</v>
      </c>
      <c r="BO68">
        <v>13.58</v>
      </c>
      <c r="BP68">
        <v>13.64</v>
      </c>
      <c r="BQ68">
        <v>13.56</v>
      </c>
      <c r="BR68">
        <v>13.62</v>
      </c>
      <c r="BS68">
        <v>0</v>
      </c>
    </row>
    <row r="69" spans="1:71" x14ac:dyDescent="0.25">
      <c r="A69" s="1">
        <v>45741.618055555555</v>
      </c>
      <c r="B69">
        <v>-25.850000000002101</v>
      </c>
      <c r="C69">
        <v>72450</v>
      </c>
      <c r="D69">
        <v>142</v>
      </c>
      <c r="E69">
        <v>60825</v>
      </c>
      <c r="F69">
        <v>69375</v>
      </c>
      <c r="G69">
        <v>-24.150000000001398</v>
      </c>
      <c r="H69">
        <v>-22.299999999999201</v>
      </c>
      <c r="I69">
        <v>-8550</v>
      </c>
      <c r="J69">
        <v>-664.34999999962702</v>
      </c>
      <c r="K69">
        <v>24300</v>
      </c>
      <c r="L69">
        <v>13725</v>
      </c>
      <c r="M69" t="s">
        <v>20</v>
      </c>
      <c r="N69">
        <v>9375</v>
      </c>
      <c r="O69" t="s">
        <v>22</v>
      </c>
      <c r="P69">
        <v>23758.49</v>
      </c>
      <c r="Q69">
        <v>23742.95</v>
      </c>
      <c r="R69">
        <v>23717.1</v>
      </c>
      <c r="S69">
        <v>23746</v>
      </c>
      <c r="T69">
        <v>23713</v>
      </c>
      <c r="U69">
        <f t="shared" si="4"/>
        <v>25.850000000002183</v>
      </c>
      <c r="V69" s="1">
        <v>45741.618055555555</v>
      </c>
      <c r="W69">
        <v>-10.3</v>
      </c>
      <c r="X69">
        <v>2049450</v>
      </c>
      <c r="Y69">
        <v>180</v>
      </c>
      <c r="Z69">
        <v>489000</v>
      </c>
      <c r="AA69">
        <v>494325</v>
      </c>
      <c r="AB69">
        <v>-9.6999999999999993</v>
      </c>
      <c r="AC69">
        <v>-9.6499999999999897</v>
      </c>
      <c r="AD69">
        <v>-5325</v>
      </c>
      <c r="AE69">
        <v>-66.949999999997004</v>
      </c>
      <c r="AF69">
        <v>51825</v>
      </c>
      <c r="AG69">
        <v>-68550</v>
      </c>
      <c r="AH69" t="s">
        <v>22</v>
      </c>
      <c r="AI69">
        <v>-12825</v>
      </c>
      <c r="AJ69" t="s">
        <v>22</v>
      </c>
      <c r="AK69">
        <v>80.650000000000006</v>
      </c>
      <c r="AL69">
        <v>70.349999999999994</v>
      </c>
      <c r="AM69">
        <v>81</v>
      </c>
      <c r="AN69">
        <v>68.3</v>
      </c>
      <c r="AO69">
        <v>111.34</v>
      </c>
      <c r="AP69" s="1">
        <v>45741.618055555555</v>
      </c>
      <c r="AQ69">
        <v>15.8</v>
      </c>
      <c r="AR69">
        <v>1575825</v>
      </c>
      <c r="AS69">
        <v>180</v>
      </c>
      <c r="AT69">
        <v>227250</v>
      </c>
      <c r="AU69">
        <v>266550</v>
      </c>
      <c r="AV69">
        <v>15.0999999999999</v>
      </c>
      <c r="AW69">
        <v>15.0999999999999</v>
      </c>
      <c r="AX69">
        <v>-39300</v>
      </c>
      <c r="AY69">
        <v>-108.65000000000801</v>
      </c>
      <c r="AZ69">
        <v>48525</v>
      </c>
      <c r="BA69">
        <v>6900</v>
      </c>
      <c r="BB69" t="s">
        <v>22</v>
      </c>
      <c r="BC69">
        <v>-60525</v>
      </c>
      <c r="BD69" t="s">
        <v>22</v>
      </c>
      <c r="BE69">
        <v>134.25</v>
      </c>
      <c r="BF69">
        <v>150.05000000000001</v>
      </c>
      <c r="BG69">
        <v>154.25</v>
      </c>
      <c r="BH69">
        <v>132.6</v>
      </c>
      <c r="BI69">
        <v>143.38999999999999</v>
      </c>
      <c r="BJ69" s="1">
        <v>45741.618055555555</v>
      </c>
      <c r="BK69">
        <v>1742894400</v>
      </c>
      <c r="BL69">
        <f t="shared" si="5"/>
        <v>9.9999999999997868E-3</v>
      </c>
      <c r="BM69">
        <f t="shared" ref="BM69:BM76" si="6">U69/$BM$3/100</f>
        <v>0.13953125000000852</v>
      </c>
      <c r="BN69" s="3">
        <f t="shared" ref="BN69:BN76" si="7">IF(BL69&lt;BM69,-1,1)</f>
        <v>-1</v>
      </c>
      <c r="BO69">
        <v>13.61</v>
      </c>
      <c r="BP69">
        <v>13.66</v>
      </c>
      <c r="BQ69">
        <v>13.59</v>
      </c>
      <c r="BR69">
        <v>13.62</v>
      </c>
      <c r="BS69">
        <v>0</v>
      </c>
    </row>
    <row r="70" spans="1:71" x14ac:dyDescent="0.25">
      <c r="A70" s="1">
        <v>45741.621527777781</v>
      </c>
      <c r="B70">
        <v>11.75</v>
      </c>
      <c r="C70">
        <v>83400</v>
      </c>
      <c r="D70">
        <v>139</v>
      </c>
      <c r="E70">
        <v>57900</v>
      </c>
      <c r="F70">
        <v>147450</v>
      </c>
      <c r="G70">
        <v>11.450000000000699</v>
      </c>
      <c r="H70">
        <v>16.5500000000029</v>
      </c>
      <c r="I70">
        <v>-89550</v>
      </c>
      <c r="J70">
        <v>-1068.2000000001799</v>
      </c>
      <c r="K70">
        <v>28575</v>
      </c>
      <c r="L70">
        <v>-225</v>
      </c>
      <c r="M70" t="s">
        <v>22</v>
      </c>
      <c r="N70">
        <v>-1650</v>
      </c>
      <c r="O70" t="s">
        <v>21</v>
      </c>
      <c r="P70">
        <v>23758.29</v>
      </c>
      <c r="Q70">
        <v>23719.75</v>
      </c>
      <c r="R70">
        <v>23731.5</v>
      </c>
      <c r="S70">
        <v>23755.5</v>
      </c>
      <c r="T70">
        <v>23718.05</v>
      </c>
      <c r="U70">
        <f t="shared" si="4"/>
        <v>11.75</v>
      </c>
      <c r="V70" s="1">
        <v>45741.621527777781</v>
      </c>
      <c r="W70">
        <v>5.85</v>
      </c>
      <c r="X70">
        <v>2742825</v>
      </c>
      <c r="Y70">
        <v>180</v>
      </c>
      <c r="Z70">
        <v>473700</v>
      </c>
      <c r="AA70">
        <v>451800</v>
      </c>
      <c r="AB70">
        <v>5.3999999999999897</v>
      </c>
      <c r="AC70">
        <v>5.4</v>
      </c>
      <c r="AD70">
        <v>21900</v>
      </c>
      <c r="AE70">
        <v>-65.300000000002896</v>
      </c>
      <c r="AF70">
        <v>49050</v>
      </c>
      <c r="AG70">
        <v>65850</v>
      </c>
      <c r="AH70" t="s">
        <v>21</v>
      </c>
      <c r="AI70">
        <v>-62550</v>
      </c>
      <c r="AJ70" t="s">
        <v>21</v>
      </c>
      <c r="AK70">
        <v>70.599999999999994</v>
      </c>
      <c r="AL70">
        <v>76.45</v>
      </c>
      <c r="AM70">
        <v>83.25</v>
      </c>
      <c r="AN70">
        <v>70.599999999999994</v>
      </c>
      <c r="AO70">
        <v>110.92</v>
      </c>
      <c r="AP70" s="1">
        <v>45741.621527777781</v>
      </c>
      <c r="AQ70">
        <v>-11.399999999999901</v>
      </c>
      <c r="AR70">
        <v>1576200</v>
      </c>
      <c r="AS70">
        <v>180</v>
      </c>
      <c r="AT70">
        <v>203475</v>
      </c>
      <c r="AU70">
        <v>275700</v>
      </c>
      <c r="AV70">
        <v>-11.05</v>
      </c>
      <c r="AW70">
        <v>-11.1999999999999</v>
      </c>
      <c r="AX70">
        <v>-72225</v>
      </c>
      <c r="AY70">
        <v>-103.700000000004</v>
      </c>
      <c r="AZ70">
        <v>46575</v>
      </c>
      <c r="BA70">
        <v>-31425</v>
      </c>
      <c r="BB70" t="s">
        <v>21</v>
      </c>
      <c r="BC70">
        <v>3675</v>
      </c>
      <c r="BD70" t="s">
        <v>21</v>
      </c>
      <c r="BE70">
        <v>150.44999999999999</v>
      </c>
      <c r="BF70">
        <v>139.05000000000001</v>
      </c>
      <c r="BG70">
        <v>150.44999999999999</v>
      </c>
      <c r="BH70">
        <v>126.4</v>
      </c>
      <c r="BI70">
        <v>143.32</v>
      </c>
      <c r="BJ70" s="1">
        <v>45741.621527777781</v>
      </c>
      <c r="BK70">
        <v>1742894700</v>
      </c>
      <c r="BL70">
        <f t="shared" si="5"/>
        <v>2.000000000000135E-2</v>
      </c>
      <c r="BM70">
        <f t="shared" si="6"/>
        <v>6.3423295454543976E-2</v>
      </c>
      <c r="BN70" s="3">
        <f t="shared" si="7"/>
        <v>-1</v>
      </c>
      <c r="BO70">
        <v>13.61</v>
      </c>
      <c r="BP70">
        <v>13.65</v>
      </c>
      <c r="BQ70">
        <v>13.52</v>
      </c>
      <c r="BR70">
        <v>13.63</v>
      </c>
      <c r="BS70">
        <v>0</v>
      </c>
    </row>
    <row r="71" spans="1:71" s="3" customFormat="1" x14ac:dyDescent="0.25">
      <c r="A71" s="2">
        <v>45741.625</v>
      </c>
      <c r="B71" s="3">
        <v>0.45000000000072699</v>
      </c>
      <c r="C71">
        <v>94125</v>
      </c>
      <c r="D71">
        <v>134</v>
      </c>
      <c r="E71">
        <v>53175</v>
      </c>
      <c r="F71">
        <v>138300</v>
      </c>
      <c r="G71">
        <v>-1.3499999999985399</v>
      </c>
      <c r="H71">
        <v>-8.2000000000007205</v>
      </c>
      <c r="I71">
        <v>-85125</v>
      </c>
      <c r="J71">
        <v>-915.04999999981305</v>
      </c>
      <c r="K71">
        <v>24750</v>
      </c>
      <c r="L71">
        <v>2775</v>
      </c>
      <c r="M71" t="s">
        <v>20</v>
      </c>
      <c r="N71">
        <v>-3075</v>
      </c>
      <c r="O71" t="s">
        <v>21</v>
      </c>
      <c r="P71">
        <v>23758.02</v>
      </c>
      <c r="Q71">
        <v>23732.55</v>
      </c>
      <c r="R71">
        <v>23733</v>
      </c>
      <c r="S71" s="3">
        <v>23745</v>
      </c>
      <c r="T71" s="3">
        <v>23728.15</v>
      </c>
      <c r="U71" s="3">
        <f t="shared" si="4"/>
        <v>0.4500000000007276</v>
      </c>
      <c r="V71" s="1">
        <v>45741.625</v>
      </c>
      <c r="W71">
        <v>-0.84999999999999398</v>
      </c>
      <c r="X71">
        <v>1670700</v>
      </c>
      <c r="Y71">
        <v>180</v>
      </c>
      <c r="Z71">
        <v>435825</v>
      </c>
      <c r="AA71">
        <v>425625</v>
      </c>
      <c r="AB71">
        <v>-1.5499999999999901</v>
      </c>
      <c r="AC71">
        <v>-1.5999999999999901</v>
      </c>
      <c r="AD71">
        <v>10200</v>
      </c>
      <c r="AE71">
        <v>-65.5</v>
      </c>
      <c r="AF71">
        <v>47250</v>
      </c>
      <c r="AG71">
        <v>16350</v>
      </c>
      <c r="AH71" t="s">
        <v>20</v>
      </c>
      <c r="AI71">
        <v>83550</v>
      </c>
      <c r="AJ71" t="s">
        <v>22</v>
      </c>
      <c r="AK71">
        <v>76.099999999999994</v>
      </c>
      <c r="AL71">
        <v>75.25</v>
      </c>
      <c r="AM71">
        <v>79.5</v>
      </c>
      <c r="AN71">
        <v>73.45</v>
      </c>
      <c r="AO71">
        <v>110.66</v>
      </c>
      <c r="AP71" s="1">
        <v>45741.625</v>
      </c>
      <c r="AQ71">
        <v>0.94999999999998797</v>
      </c>
      <c r="AR71">
        <v>934350</v>
      </c>
      <c r="AS71">
        <v>180</v>
      </c>
      <c r="AT71">
        <v>239250</v>
      </c>
      <c r="AU71">
        <v>189675</v>
      </c>
      <c r="AV71">
        <v>1.5</v>
      </c>
      <c r="AW71">
        <v>1.65</v>
      </c>
      <c r="AX71">
        <v>49575</v>
      </c>
      <c r="AY71">
        <v>-99.400000000001398</v>
      </c>
      <c r="AZ71">
        <v>42450</v>
      </c>
      <c r="BA71">
        <v>8925</v>
      </c>
      <c r="BB71" t="s">
        <v>22</v>
      </c>
      <c r="BC71">
        <v>28275</v>
      </c>
      <c r="BD71" t="s">
        <v>21</v>
      </c>
      <c r="BE71">
        <v>138.30000000000001</v>
      </c>
      <c r="BF71">
        <v>139.25</v>
      </c>
      <c r="BG71">
        <v>142.1</v>
      </c>
      <c r="BH71">
        <v>132.44999999999999</v>
      </c>
      <c r="BI71">
        <v>143.28</v>
      </c>
      <c r="BJ71" s="1">
        <v>45741.625</v>
      </c>
      <c r="BK71">
        <v>1742895000</v>
      </c>
      <c r="BL71" s="3">
        <f t="shared" si="5"/>
        <v>5.0000000000000711E-2</v>
      </c>
      <c r="BM71" s="3">
        <f t="shared" si="6"/>
        <v>2.4289772727311434E-3</v>
      </c>
      <c r="BN71" s="3">
        <f t="shared" si="7"/>
        <v>1</v>
      </c>
      <c r="BO71" s="3">
        <v>13.64</v>
      </c>
      <c r="BP71" s="3">
        <v>13.65</v>
      </c>
      <c r="BQ71" s="3">
        <v>13.58</v>
      </c>
      <c r="BR71" s="3">
        <v>13.59</v>
      </c>
      <c r="BS71" s="3">
        <v>0</v>
      </c>
    </row>
    <row r="72" spans="1:71" x14ac:dyDescent="0.25">
      <c r="A72" s="1">
        <v>45741.628472222219</v>
      </c>
      <c r="B72">
        <v>-6.5499999999992697</v>
      </c>
      <c r="C72">
        <v>58875</v>
      </c>
      <c r="D72">
        <v>155</v>
      </c>
      <c r="E72">
        <v>101250</v>
      </c>
      <c r="F72">
        <v>102450</v>
      </c>
      <c r="G72">
        <v>-6.8499999999985404</v>
      </c>
      <c r="H72">
        <v>-5.9500000000007196</v>
      </c>
      <c r="I72">
        <v>-1200</v>
      </c>
      <c r="J72">
        <v>-388.25</v>
      </c>
      <c r="K72">
        <v>28050</v>
      </c>
      <c r="L72">
        <v>8400</v>
      </c>
      <c r="M72" t="s">
        <v>20</v>
      </c>
      <c r="N72">
        <v>28275</v>
      </c>
      <c r="O72" t="s">
        <v>22</v>
      </c>
      <c r="P72">
        <v>23757.79</v>
      </c>
      <c r="Q72">
        <v>23733</v>
      </c>
      <c r="R72">
        <v>23726.45</v>
      </c>
      <c r="S72">
        <v>23733</v>
      </c>
      <c r="T72">
        <v>23721.05</v>
      </c>
      <c r="U72">
        <f t="shared" si="4"/>
        <v>6.5499999999992724</v>
      </c>
      <c r="V72" s="1">
        <v>45741.628472222219</v>
      </c>
      <c r="W72">
        <v>-1.19999999999998</v>
      </c>
      <c r="X72">
        <v>1326525</v>
      </c>
      <c r="Y72">
        <v>178</v>
      </c>
      <c r="Z72">
        <v>481875</v>
      </c>
      <c r="AA72">
        <v>507300</v>
      </c>
      <c r="AB72">
        <v>-1.2999999999999901</v>
      </c>
      <c r="AC72">
        <v>-1.3499999999999901</v>
      </c>
      <c r="AD72">
        <v>-25425</v>
      </c>
      <c r="AE72">
        <v>-61.199999999996997</v>
      </c>
      <c r="AF72">
        <v>43350</v>
      </c>
      <c r="AG72">
        <v>14850</v>
      </c>
      <c r="AH72" t="s">
        <v>20</v>
      </c>
      <c r="AI72">
        <v>-21375</v>
      </c>
      <c r="AJ72" t="s">
        <v>21</v>
      </c>
      <c r="AK72">
        <v>75.849999999999994</v>
      </c>
      <c r="AL72">
        <v>74.650000000000006</v>
      </c>
      <c r="AM72">
        <v>76.150000000000006</v>
      </c>
      <c r="AN72">
        <v>72.099999999999994</v>
      </c>
      <c r="AO72">
        <v>110.45</v>
      </c>
      <c r="AP72" s="1">
        <v>45741.628472222219</v>
      </c>
      <c r="AQ72">
        <v>3.4499999999999802</v>
      </c>
      <c r="AR72">
        <v>713025</v>
      </c>
      <c r="AS72">
        <v>178</v>
      </c>
      <c r="AT72">
        <v>198375</v>
      </c>
      <c r="AU72">
        <v>230025</v>
      </c>
      <c r="AV72">
        <v>4.0500000000000096</v>
      </c>
      <c r="AW72">
        <v>4.1999999999999797</v>
      </c>
      <c r="AX72">
        <v>-31650</v>
      </c>
      <c r="AY72">
        <v>-97.699999999997004</v>
      </c>
      <c r="AZ72">
        <v>45675</v>
      </c>
      <c r="BA72">
        <v>-15000</v>
      </c>
      <c r="BB72" t="s">
        <v>21</v>
      </c>
      <c r="BC72">
        <v>-27300</v>
      </c>
      <c r="BD72" t="s">
        <v>22</v>
      </c>
      <c r="BE72">
        <v>139</v>
      </c>
      <c r="BF72">
        <v>142.44999999999999</v>
      </c>
      <c r="BG72">
        <v>147.6</v>
      </c>
      <c r="BH72">
        <v>137.9</v>
      </c>
      <c r="BI72">
        <v>143.28</v>
      </c>
      <c r="BJ72" s="1">
        <v>45741.628472222219</v>
      </c>
      <c r="BK72">
        <v>1742895300</v>
      </c>
      <c r="BL72">
        <f t="shared" si="5"/>
        <v>1.9999999999999574E-2</v>
      </c>
      <c r="BM72">
        <f t="shared" si="6"/>
        <v>3.5355113636358883E-2</v>
      </c>
      <c r="BN72" s="3">
        <f t="shared" si="7"/>
        <v>-1</v>
      </c>
      <c r="BO72">
        <v>13.58</v>
      </c>
      <c r="BP72">
        <v>13.61</v>
      </c>
      <c r="BQ72">
        <v>13.55</v>
      </c>
      <c r="BR72">
        <v>13.56</v>
      </c>
      <c r="BS72">
        <v>0</v>
      </c>
    </row>
    <row r="73" spans="1:71" s="3" customFormat="1" x14ac:dyDescent="0.25">
      <c r="A73" s="2">
        <v>45741.631944444445</v>
      </c>
      <c r="B73" s="3">
        <v>-12.4000000000014</v>
      </c>
      <c r="C73">
        <v>79275</v>
      </c>
      <c r="D73">
        <v>157</v>
      </c>
      <c r="E73">
        <v>105825</v>
      </c>
      <c r="F73">
        <v>145950</v>
      </c>
      <c r="G73">
        <v>-15.1500000000014</v>
      </c>
      <c r="H73">
        <v>-11.4000000000014</v>
      </c>
      <c r="I73">
        <v>-40125</v>
      </c>
      <c r="J73">
        <v>-531.79999999981305</v>
      </c>
      <c r="K73">
        <v>24825</v>
      </c>
      <c r="L73">
        <v>-11325</v>
      </c>
      <c r="M73" t="s">
        <v>22</v>
      </c>
      <c r="N73">
        <v>15825</v>
      </c>
      <c r="O73" t="s">
        <v>20</v>
      </c>
      <c r="P73">
        <v>23757.39</v>
      </c>
      <c r="Q73">
        <v>23727.4</v>
      </c>
      <c r="R73">
        <v>23715</v>
      </c>
      <c r="S73" s="3">
        <v>23728.9</v>
      </c>
      <c r="T73" s="3">
        <v>23711.95</v>
      </c>
      <c r="U73" s="3">
        <f t="shared" si="4"/>
        <v>12.400000000001455</v>
      </c>
      <c r="V73" s="1">
        <v>45741.631944444445</v>
      </c>
      <c r="W73">
        <v>-3.4</v>
      </c>
      <c r="X73">
        <v>1724325</v>
      </c>
      <c r="Y73">
        <v>181</v>
      </c>
      <c r="Z73">
        <v>651675</v>
      </c>
      <c r="AA73">
        <v>657675</v>
      </c>
      <c r="AB73">
        <v>-3.7</v>
      </c>
      <c r="AC73">
        <v>-3.5499999999999901</v>
      </c>
      <c r="AD73">
        <v>-6000</v>
      </c>
      <c r="AE73">
        <v>-61.950000000000699</v>
      </c>
      <c r="AF73">
        <v>52050</v>
      </c>
      <c r="AG73">
        <v>-20700</v>
      </c>
      <c r="AH73" t="s">
        <v>22</v>
      </c>
      <c r="AI73">
        <v>-86025</v>
      </c>
      <c r="AJ73" t="s">
        <v>21</v>
      </c>
      <c r="AK73">
        <v>75</v>
      </c>
      <c r="AL73">
        <v>71.599999999999994</v>
      </c>
      <c r="AM73">
        <v>75.25</v>
      </c>
      <c r="AN73">
        <v>70.3</v>
      </c>
      <c r="AO73">
        <v>110.15</v>
      </c>
      <c r="AP73" s="1">
        <v>45741.631944444445</v>
      </c>
      <c r="AQ73">
        <v>12.1999999999999</v>
      </c>
      <c r="AR73">
        <v>844950</v>
      </c>
      <c r="AS73">
        <v>181</v>
      </c>
      <c r="AT73">
        <v>220500</v>
      </c>
      <c r="AU73">
        <v>265875</v>
      </c>
      <c r="AV73">
        <v>12.65</v>
      </c>
      <c r="AW73">
        <v>12.6999999999999</v>
      </c>
      <c r="AX73">
        <v>-45375</v>
      </c>
      <c r="AY73">
        <v>-106.849999999998</v>
      </c>
      <c r="AZ73">
        <v>45750</v>
      </c>
      <c r="BA73">
        <v>-3675</v>
      </c>
      <c r="BB73" t="s">
        <v>20</v>
      </c>
      <c r="BC73">
        <v>-82050</v>
      </c>
      <c r="BD73" t="s">
        <v>22</v>
      </c>
      <c r="BE73">
        <v>142.15</v>
      </c>
      <c r="BF73">
        <v>154.35</v>
      </c>
      <c r="BG73">
        <v>155.5</v>
      </c>
      <c r="BH73">
        <v>142.05000000000001</v>
      </c>
      <c r="BI73">
        <v>143.31</v>
      </c>
      <c r="BJ73" s="1">
        <v>45741.631944444445</v>
      </c>
      <c r="BK73">
        <v>1742895600</v>
      </c>
      <c r="BL73" s="3">
        <f t="shared" si="5"/>
        <v>0.11999999999999922</v>
      </c>
      <c r="BM73" s="3">
        <f t="shared" si="6"/>
        <v>6.6931818181824476E-2</v>
      </c>
      <c r="BN73" s="3">
        <f t="shared" si="7"/>
        <v>1</v>
      </c>
      <c r="BO73" s="3">
        <v>13.55</v>
      </c>
      <c r="BP73" s="3">
        <v>13.67</v>
      </c>
      <c r="BQ73" s="3">
        <v>13.54</v>
      </c>
      <c r="BR73" s="3">
        <v>13.67</v>
      </c>
      <c r="BS73" s="3">
        <v>0</v>
      </c>
    </row>
    <row r="74" spans="1:71" s="3" customFormat="1" x14ac:dyDescent="0.25">
      <c r="A74" s="2">
        <v>45741.635416666664</v>
      </c>
      <c r="B74" s="3">
        <v>3.5500000000029099</v>
      </c>
      <c r="C74">
        <v>95250</v>
      </c>
      <c r="D74">
        <v>161</v>
      </c>
      <c r="E74">
        <v>364125</v>
      </c>
      <c r="F74">
        <v>146550</v>
      </c>
      <c r="G74">
        <v>5.75</v>
      </c>
      <c r="H74">
        <v>3.5499999999992702</v>
      </c>
      <c r="I74">
        <v>217575</v>
      </c>
      <c r="J74">
        <v>-895.04999999888196</v>
      </c>
      <c r="K74">
        <v>33600</v>
      </c>
      <c r="L74">
        <v>36150</v>
      </c>
      <c r="M74" t="s">
        <v>21</v>
      </c>
      <c r="N74">
        <v>30750</v>
      </c>
      <c r="O74" t="s">
        <v>20</v>
      </c>
      <c r="P74">
        <v>23756.91</v>
      </c>
      <c r="Q74">
        <v>23712.85</v>
      </c>
      <c r="R74">
        <v>23716.400000000001</v>
      </c>
      <c r="S74" s="3">
        <v>23723</v>
      </c>
      <c r="T74" s="3">
        <v>23710.75</v>
      </c>
      <c r="U74" s="3">
        <f t="shared" si="4"/>
        <v>3.5500000000029104</v>
      </c>
      <c r="V74" s="1">
        <v>45741.635416666664</v>
      </c>
      <c r="W74">
        <v>0.40000000000000502</v>
      </c>
      <c r="X74">
        <v>1763400</v>
      </c>
      <c r="Y74">
        <v>182</v>
      </c>
      <c r="Z74">
        <v>507600</v>
      </c>
      <c r="AA74">
        <v>624900</v>
      </c>
      <c r="AB74">
        <v>0.5</v>
      </c>
      <c r="AC74">
        <v>0.39999999999999097</v>
      </c>
      <c r="AD74">
        <v>-117300</v>
      </c>
      <c r="AE74">
        <v>-55.75</v>
      </c>
      <c r="AF74">
        <v>52725</v>
      </c>
      <c r="AG74">
        <v>-32175</v>
      </c>
      <c r="AH74" t="s">
        <v>22</v>
      </c>
      <c r="AI74">
        <v>-113100</v>
      </c>
      <c r="AJ74" t="s">
        <v>21</v>
      </c>
      <c r="AK74">
        <v>71.5</v>
      </c>
      <c r="AL74">
        <v>71.900000000000006</v>
      </c>
      <c r="AM74">
        <v>73.75</v>
      </c>
      <c r="AN74">
        <v>70.900000000000006</v>
      </c>
      <c r="AO74">
        <v>109.85</v>
      </c>
      <c r="AP74" s="1">
        <v>45741.635416666664</v>
      </c>
      <c r="AQ74">
        <v>-3.9</v>
      </c>
      <c r="AR74">
        <v>868500</v>
      </c>
      <c r="AS74">
        <v>182</v>
      </c>
      <c r="AT74">
        <v>192525</v>
      </c>
      <c r="AU74">
        <v>283950</v>
      </c>
      <c r="AV74">
        <v>-4.2999999999999803</v>
      </c>
      <c r="AW74">
        <v>-4.4000000000000004</v>
      </c>
      <c r="AX74">
        <v>-91425</v>
      </c>
      <c r="AY74">
        <v>-101.15000000000801</v>
      </c>
      <c r="AZ74">
        <v>44250</v>
      </c>
      <c r="BA74">
        <v>-35250</v>
      </c>
      <c r="BB74" t="s">
        <v>21</v>
      </c>
      <c r="BC74">
        <v>15150</v>
      </c>
      <c r="BD74" t="s">
        <v>21</v>
      </c>
      <c r="BE74">
        <v>153.75</v>
      </c>
      <c r="BF74">
        <v>149.85</v>
      </c>
      <c r="BG74">
        <v>156</v>
      </c>
      <c r="BH74">
        <v>146.69999999999999</v>
      </c>
      <c r="BI74">
        <v>143.36000000000001</v>
      </c>
      <c r="BJ74" s="1">
        <v>45741.635416666664</v>
      </c>
      <c r="BK74">
        <v>1742895900</v>
      </c>
      <c r="BL74" s="3">
        <f t="shared" si="5"/>
        <v>2.9999999999999361E-2</v>
      </c>
      <c r="BM74" s="3">
        <f t="shared" si="6"/>
        <v>1.916193181819708E-2</v>
      </c>
      <c r="BN74" s="3">
        <f t="shared" si="7"/>
        <v>1</v>
      </c>
      <c r="BO74" s="3">
        <v>13.68</v>
      </c>
      <c r="BP74" s="3">
        <v>13.68</v>
      </c>
      <c r="BQ74" s="3">
        <v>13.61</v>
      </c>
      <c r="BR74" s="3">
        <v>13.65</v>
      </c>
      <c r="BS74" s="3">
        <v>0</v>
      </c>
    </row>
    <row r="75" spans="1:71" x14ac:dyDescent="0.25">
      <c r="A75" s="1">
        <v>45741.638888888891</v>
      </c>
      <c r="B75">
        <v>-20</v>
      </c>
      <c r="C75">
        <v>114900</v>
      </c>
      <c r="D75">
        <v>166</v>
      </c>
      <c r="E75">
        <v>467175</v>
      </c>
      <c r="F75">
        <v>95700</v>
      </c>
      <c r="G75">
        <v>-14.0999999999985</v>
      </c>
      <c r="H75">
        <v>-17.549999999999201</v>
      </c>
      <c r="I75">
        <v>371475</v>
      </c>
      <c r="J75">
        <v>-493.25</v>
      </c>
      <c r="K75">
        <v>43875</v>
      </c>
      <c r="L75">
        <v>-50850</v>
      </c>
      <c r="M75" t="s">
        <v>22</v>
      </c>
      <c r="N75">
        <v>1575</v>
      </c>
      <c r="O75" t="s">
        <v>21</v>
      </c>
      <c r="P75">
        <v>23756.29</v>
      </c>
      <c r="Q75">
        <v>23722</v>
      </c>
      <c r="R75">
        <v>23702</v>
      </c>
      <c r="S75">
        <v>23723.1</v>
      </c>
      <c r="T75">
        <v>23702</v>
      </c>
      <c r="U75">
        <f t="shared" si="4"/>
        <v>20</v>
      </c>
      <c r="V75" s="1">
        <v>45741.638888888891</v>
      </c>
      <c r="W75">
        <v>-7.3999999999999897</v>
      </c>
      <c r="X75">
        <v>2554275</v>
      </c>
      <c r="Y75">
        <v>179</v>
      </c>
      <c r="Z75">
        <v>573675</v>
      </c>
      <c r="AA75">
        <v>707100</v>
      </c>
      <c r="AB75">
        <v>-7.2</v>
      </c>
      <c r="AC75">
        <v>-7.25</v>
      </c>
      <c r="AD75">
        <v>-133425</v>
      </c>
      <c r="AE75">
        <v>-50.450000000000699</v>
      </c>
      <c r="AF75">
        <v>56775</v>
      </c>
      <c r="AG75">
        <v>-260475</v>
      </c>
      <c r="AH75" t="s">
        <v>22</v>
      </c>
      <c r="AI75">
        <v>-179700</v>
      </c>
      <c r="AJ75" t="s">
        <v>21</v>
      </c>
      <c r="AK75">
        <v>71.8</v>
      </c>
      <c r="AL75">
        <v>64.400000000000006</v>
      </c>
      <c r="AM75">
        <v>72.95</v>
      </c>
      <c r="AN75">
        <v>64.400000000000006</v>
      </c>
      <c r="AO75">
        <v>109.41</v>
      </c>
      <c r="AP75" s="1">
        <v>45741.638888888891</v>
      </c>
      <c r="AQ75">
        <v>13.4499999999999</v>
      </c>
      <c r="AR75">
        <v>807000</v>
      </c>
      <c r="AS75">
        <v>180</v>
      </c>
      <c r="AT75">
        <v>189750</v>
      </c>
      <c r="AU75">
        <v>349425</v>
      </c>
      <c r="AV75">
        <v>12.7</v>
      </c>
      <c r="AW75">
        <v>13</v>
      </c>
      <c r="AX75">
        <v>-159675</v>
      </c>
      <c r="AY75">
        <v>-100.200000000004</v>
      </c>
      <c r="AZ75">
        <v>45600</v>
      </c>
      <c r="BA75">
        <v>-13200</v>
      </c>
      <c r="BB75" t="s">
        <v>22</v>
      </c>
      <c r="BC75">
        <v>-106875</v>
      </c>
      <c r="BD75" t="s">
        <v>22</v>
      </c>
      <c r="BE75">
        <v>150</v>
      </c>
      <c r="BF75">
        <v>163.44999999999999</v>
      </c>
      <c r="BG75">
        <v>163.44999999999999</v>
      </c>
      <c r="BH75">
        <v>149.44999999999999</v>
      </c>
      <c r="BI75">
        <v>143.41999999999999</v>
      </c>
      <c r="BJ75" s="1">
        <v>45741.638888888891</v>
      </c>
      <c r="BK75">
        <v>1742896200</v>
      </c>
      <c r="BL75">
        <f t="shared" si="5"/>
        <v>6.0000000000000497E-2</v>
      </c>
      <c r="BM75">
        <f t="shared" si="6"/>
        <v>0.10795454545454293</v>
      </c>
      <c r="BN75" s="3">
        <f t="shared" si="7"/>
        <v>-1</v>
      </c>
      <c r="BO75">
        <v>13.66</v>
      </c>
      <c r="BP75">
        <v>13.72</v>
      </c>
      <c r="BQ75">
        <v>13.65</v>
      </c>
      <c r="BR75">
        <v>13.72</v>
      </c>
      <c r="BS75">
        <v>0</v>
      </c>
    </row>
    <row r="76" spans="1:71" x14ac:dyDescent="0.25">
      <c r="A76" s="1">
        <v>45741.642361111109</v>
      </c>
      <c r="B76">
        <v>-36.349999999998502</v>
      </c>
      <c r="C76">
        <v>236175</v>
      </c>
      <c r="D76">
        <v>180</v>
      </c>
      <c r="E76">
        <v>321600</v>
      </c>
      <c r="F76">
        <v>156525</v>
      </c>
      <c r="G76">
        <v>-39.25</v>
      </c>
      <c r="H76">
        <v>-34.349999999998502</v>
      </c>
      <c r="I76">
        <v>165075</v>
      </c>
      <c r="J76">
        <v>-679</v>
      </c>
      <c r="K76">
        <v>32250</v>
      </c>
      <c r="L76">
        <v>-82125</v>
      </c>
      <c r="M76" t="s">
        <v>22</v>
      </c>
      <c r="N76">
        <v>-86025</v>
      </c>
      <c r="O76" t="s">
        <v>21</v>
      </c>
      <c r="P76">
        <v>23754</v>
      </c>
      <c r="Q76">
        <v>23701.5</v>
      </c>
      <c r="R76">
        <v>23665.15</v>
      </c>
      <c r="S76">
        <v>23701.5</v>
      </c>
      <c r="T76">
        <v>23664.05</v>
      </c>
      <c r="U76">
        <f t="shared" si="4"/>
        <v>36.349999999998545</v>
      </c>
      <c r="V76" s="1">
        <v>45741.642361111109</v>
      </c>
      <c r="W76">
        <v>-9.3499999999999908</v>
      </c>
      <c r="X76">
        <v>4329675</v>
      </c>
      <c r="Y76">
        <v>182</v>
      </c>
      <c r="Z76">
        <v>429600</v>
      </c>
      <c r="AA76">
        <v>545100</v>
      </c>
      <c r="AB76">
        <v>-9.5499999999999901</v>
      </c>
      <c r="AC76">
        <v>-9.5499999999999901</v>
      </c>
      <c r="AD76">
        <v>-115500</v>
      </c>
      <c r="AE76">
        <v>-52.149999999997803</v>
      </c>
      <c r="AF76">
        <v>54225</v>
      </c>
      <c r="AG76">
        <v>-378150</v>
      </c>
      <c r="AH76" t="s">
        <v>22</v>
      </c>
      <c r="AI76">
        <v>-198450</v>
      </c>
      <c r="AJ76" t="s">
        <v>21</v>
      </c>
      <c r="AK76">
        <v>64.55</v>
      </c>
      <c r="AL76">
        <v>55.2</v>
      </c>
      <c r="AM76">
        <v>64.55</v>
      </c>
      <c r="AN76">
        <v>53.25</v>
      </c>
      <c r="AO76">
        <v>108.45</v>
      </c>
      <c r="AP76" s="1">
        <v>45741.642361111109</v>
      </c>
      <c r="AQ76">
        <v>23</v>
      </c>
      <c r="AR76">
        <v>1276725</v>
      </c>
      <c r="AS76">
        <v>182</v>
      </c>
      <c r="AT76">
        <v>159075</v>
      </c>
      <c r="AU76">
        <v>163350</v>
      </c>
      <c r="AV76">
        <v>23.1</v>
      </c>
      <c r="AW76">
        <v>24.299999999999901</v>
      </c>
      <c r="AX76">
        <v>-4275</v>
      </c>
      <c r="AY76">
        <v>-143.199999999997</v>
      </c>
      <c r="AZ76">
        <v>44250</v>
      </c>
      <c r="BA76">
        <v>-190125</v>
      </c>
      <c r="BB76" t="s">
        <v>21</v>
      </c>
      <c r="BC76">
        <v>-90825</v>
      </c>
      <c r="BD76" t="s">
        <v>20</v>
      </c>
      <c r="BE76">
        <v>162.9</v>
      </c>
      <c r="BF76">
        <v>185.9</v>
      </c>
      <c r="BG76">
        <v>187.35</v>
      </c>
      <c r="BH76">
        <v>162.85</v>
      </c>
      <c r="BI76">
        <v>143.74</v>
      </c>
      <c r="BJ76" s="1">
        <v>45741.642361111109</v>
      </c>
      <c r="BK76">
        <v>1742896500</v>
      </c>
      <c r="BL76">
        <f t="shared" si="5"/>
        <v>8.9999999999999858E-2</v>
      </c>
      <c r="BM76">
        <f t="shared" si="6"/>
        <v>0.19620738636362392</v>
      </c>
      <c r="BN76" s="3">
        <f t="shared" si="7"/>
        <v>-1</v>
      </c>
      <c r="BO76">
        <v>13.71</v>
      </c>
      <c r="BP76">
        <v>13.88</v>
      </c>
      <c r="BQ76">
        <v>13.59</v>
      </c>
      <c r="BR76">
        <v>13.8</v>
      </c>
      <c r="BS76">
        <v>0</v>
      </c>
    </row>
  </sheetData>
  <autoFilter ref="A1:BS76" xr:uid="{CC78FEDC-1F54-424F-BF8C-B251CF7B43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25-03-2025_05m_NIFTY25MARFUT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2025-09-13T08:28:28Z</dcterms:created>
  <dcterms:modified xsi:type="dcterms:W3CDTF">2025-09-13T08:28:28Z</dcterms:modified>
</cp:coreProperties>
</file>