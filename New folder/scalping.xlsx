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New folder\"/>
    </mc:Choice>
  </mc:AlternateContent>
  <xr:revisionPtr revIDLastSave="0" documentId="13_ncr:1_{326DF0A6-37AE-4ACE-B331-1B1FC804AFB9}" xr6:coauthVersionLast="47" xr6:coauthVersionMax="47" xr10:uidLastSave="{00000000-0000-0000-0000-000000000000}"/>
  <bookViews>
    <workbookView xWindow="-120" yWindow="-120" windowWidth="20730" windowHeight="11040" xr2:uid="{0149BF27-4680-445A-ADE5-01525F68E99D}"/>
  </bookViews>
  <sheets>
    <sheet name="28-03-2025_05m_NIFTY25APRFUT" sheetId="1" r:id="rId1"/>
  </sheets>
  <definedNames>
    <definedName name="_xlnm._FilterDatabase" localSheetId="0" hidden="1">'28-03-2025_05m_NIFTY25APRFUT'!$A$1:$BU$76</definedName>
  </definedNames>
  <calcPr calcId="191029"/>
</workbook>
</file>

<file path=xl/calcChain.xml><?xml version="1.0" encoding="utf-8"?>
<calcChain xmlns="http://schemas.openxmlformats.org/spreadsheetml/2006/main">
  <c r="BQ3" i="1" l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2" i="1"/>
  <c r="BT2" i="1" s="1"/>
  <c r="BR2" i="1" l="1"/>
  <c r="BT3" i="1" s="1"/>
  <c r="BR7" i="1"/>
  <c r="BT8" i="1" s="1"/>
  <c r="BR59" i="1"/>
  <c r="BT60" i="1" s="1"/>
  <c r="BR51" i="1"/>
  <c r="BT52" i="1" s="1"/>
  <c r="BR43" i="1"/>
  <c r="BT44" i="1" s="1"/>
  <c r="BR35" i="1"/>
  <c r="BT36" i="1" s="1"/>
  <c r="BR3" i="1"/>
  <c r="BT4" i="1" s="1"/>
  <c r="BR74" i="1"/>
  <c r="BT75" i="1" s="1"/>
  <c r="BR66" i="1"/>
  <c r="BT67" i="1" s="1"/>
  <c r="BR58" i="1"/>
  <c r="BT59" i="1" s="1"/>
  <c r="BR50" i="1"/>
  <c r="BT51" i="1" s="1"/>
  <c r="BR42" i="1"/>
  <c r="BT43" i="1" s="1"/>
  <c r="BR34" i="1"/>
  <c r="BT35" i="1" s="1"/>
  <c r="BR26" i="1"/>
  <c r="BT27" i="1" s="1"/>
  <c r="BR18" i="1"/>
  <c r="BT19" i="1" s="1"/>
  <c r="BR10" i="1"/>
  <c r="BT11" i="1" s="1"/>
  <c r="BR70" i="1"/>
  <c r="BT71" i="1" s="1"/>
  <c r="BR62" i="1"/>
  <c r="BT63" i="1" s="1"/>
  <c r="BR54" i="1"/>
  <c r="BT55" i="1" s="1"/>
  <c r="BR46" i="1"/>
  <c r="BS2" i="1" s="1"/>
  <c r="BR38" i="1"/>
  <c r="BT39" i="1" s="1"/>
  <c r="BR30" i="1"/>
  <c r="BT31" i="1" s="1"/>
  <c r="BR22" i="1"/>
  <c r="BT23" i="1" s="1"/>
  <c r="BR14" i="1"/>
  <c r="BT15" i="1" s="1"/>
  <c r="BR6" i="1"/>
  <c r="BT7" i="1" s="1"/>
  <c r="BR73" i="1"/>
  <c r="BT74" i="1" s="1"/>
  <c r="BR65" i="1"/>
  <c r="BT66" i="1" s="1"/>
  <c r="BR57" i="1"/>
  <c r="BT58" i="1" s="1"/>
  <c r="BR49" i="1"/>
  <c r="BT50" i="1" s="1"/>
  <c r="BR41" i="1"/>
  <c r="BT42" i="1" s="1"/>
  <c r="BR33" i="1"/>
  <c r="BT34" i="1" s="1"/>
  <c r="BR25" i="1"/>
  <c r="BT26" i="1" s="1"/>
  <c r="BR9" i="1"/>
  <c r="BT10" i="1" s="1"/>
  <c r="BR76" i="1"/>
  <c r="BR68" i="1"/>
  <c r="BT69" i="1" s="1"/>
  <c r="BR60" i="1"/>
  <c r="BT61" i="1" s="1"/>
  <c r="BR52" i="1"/>
  <c r="BT53" i="1" s="1"/>
  <c r="BR44" i="1"/>
  <c r="BT45" i="1" s="1"/>
  <c r="BR36" i="1"/>
  <c r="BT37" i="1" s="1"/>
  <c r="BR28" i="1"/>
  <c r="BT29" i="1" s="1"/>
  <c r="BR20" i="1"/>
  <c r="BT21" i="1" s="1"/>
  <c r="BR12" i="1"/>
  <c r="BT13" i="1" s="1"/>
  <c r="BR4" i="1"/>
  <c r="BT5" i="1" s="1"/>
  <c r="BR72" i="1"/>
  <c r="BT73" i="1" s="1"/>
  <c r="BR64" i="1"/>
  <c r="BT65" i="1" s="1"/>
  <c r="BR56" i="1"/>
  <c r="BT57" i="1" s="1"/>
  <c r="BR48" i="1"/>
  <c r="BT49" i="1" s="1"/>
  <c r="BR40" i="1"/>
  <c r="BT41" i="1" s="1"/>
  <c r="BR32" i="1"/>
  <c r="BT33" i="1" s="1"/>
  <c r="BR24" i="1"/>
  <c r="BT25" i="1" s="1"/>
  <c r="BR16" i="1"/>
  <c r="BT17" i="1" s="1"/>
  <c r="BR8" i="1"/>
  <c r="BT9" i="1" s="1"/>
  <c r="BR15" i="1"/>
  <c r="BT16" i="1" s="1"/>
  <c r="BR67" i="1"/>
  <c r="BT68" i="1" s="1"/>
  <c r="BR71" i="1"/>
  <c r="BT72" i="1" s="1"/>
  <c r="BR63" i="1"/>
  <c r="BT64" i="1" s="1"/>
  <c r="BR55" i="1"/>
  <c r="BT56" i="1" s="1"/>
  <c r="BR47" i="1"/>
  <c r="BT48" i="1" s="1"/>
  <c r="BR39" i="1"/>
  <c r="BT40" i="1" s="1"/>
  <c r="BR31" i="1"/>
  <c r="BT32" i="1" s="1"/>
  <c r="BR23" i="1"/>
  <c r="BT24" i="1" s="1"/>
  <c r="BR11" i="1"/>
  <c r="BT12" i="1" s="1"/>
  <c r="BR75" i="1"/>
  <c r="BT76" i="1" s="1"/>
  <c r="BR27" i="1"/>
  <c r="BT28" i="1" s="1"/>
  <c r="BR69" i="1"/>
  <c r="BT70" i="1" s="1"/>
  <c r="BR61" i="1"/>
  <c r="BT62" i="1" s="1"/>
  <c r="BR53" i="1"/>
  <c r="BT54" i="1" s="1"/>
  <c r="BR45" i="1"/>
  <c r="BT46" i="1" s="1"/>
  <c r="BR37" i="1"/>
  <c r="BT38" i="1" s="1"/>
  <c r="BR29" i="1"/>
  <c r="BT30" i="1" s="1"/>
  <c r="BR21" i="1"/>
  <c r="BT22" i="1" s="1"/>
  <c r="BR13" i="1"/>
  <c r="BT14" i="1" s="1"/>
  <c r="BR5" i="1"/>
  <c r="BT6" i="1" s="1"/>
  <c r="BR19" i="1"/>
  <c r="BT20" i="1" s="1"/>
  <c r="BR17" i="1"/>
  <c r="BT18" i="1" s="1"/>
  <c r="BT47" i="1" l="1"/>
  <c r="BU11" i="1"/>
  <c r="BU45" i="1"/>
  <c r="BU43" i="1"/>
  <c r="BU62" i="1"/>
  <c r="BU23" i="1"/>
  <c r="BU50" i="1"/>
  <c r="BU16" i="1"/>
  <c r="BU29" i="1"/>
  <c r="BU51" i="1"/>
  <c r="BU58" i="1"/>
  <c r="BU70" i="1"/>
  <c r="BU15" i="1"/>
  <c r="BU8" i="1"/>
  <c r="BU72" i="1"/>
  <c r="BU73" i="1"/>
  <c r="BU44" i="1"/>
  <c r="BU37" i="1"/>
  <c r="BU10" i="1"/>
  <c r="BU35" i="1"/>
  <c r="BU25" i="1"/>
  <c r="BU27" i="1"/>
  <c r="BU33" i="1"/>
  <c r="BU4" i="1"/>
  <c r="BU68" i="1"/>
  <c r="BU69" i="1"/>
  <c r="BU42" i="1"/>
  <c r="BU18" i="1"/>
  <c r="BU22" i="1"/>
  <c r="BU32" i="1"/>
  <c r="BU21" i="1"/>
  <c r="BU26" i="1"/>
  <c r="BU38" i="1"/>
  <c r="BU47" i="1"/>
  <c r="BU40" i="1"/>
  <c r="BU41" i="1"/>
  <c r="BU12" i="1"/>
  <c r="BU76" i="1"/>
  <c r="BU54" i="1"/>
  <c r="BU39" i="1"/>
  <c r="BU13" i="1"/>
  <c r="BU30" i="1"/>
  <c r="BU48" i="1"/>
  <c r="BU49" i="1"/>
  <c r="BU20" i="1"/>
  <c r="BU3" i="1"/>
  <c r="BU31" i="1"/>
  <c r="BU60" i="1"/>
  <c r="BU46" i="1"/>
  <c r="BU14" i="1"/>
  <c r="BU6" i="1"/>
  <c r="BU67" i="1"/>
  <c r="BU74" i="1"/>
  <c r="BU17" i="1"/>
  <c r="BU5" i="1"/>
  <c r="BU63" i="1"/>
  <c r="BU56" i="1"/>
  <c r="BU57" i="1"/>
  <c r="BU28" i="1"/>
  <c r="BU19" i="1"/>
  <c r="BU52" i="1"/>
  <c r="BU24" i="1"/>
  <c r="BU61" i="1"/>
  <c r="BU34" i="1"/>
  <c r="BU75" i="1"/>
  <c r="BU55" i="1"/>
  <c r="BU59" i="1"/>
  <c r="BU66" i="1"/>
  <c r="BU9" i="1"/>
  <c r="BU7" i="1"/>
  <c r="BU71" i="1"/>
  <c r="BU64" i="1"/>
  <c r="BU65" i="1"/>
  <c r="BU36" i="1"/>
  <c r="BU53" i="1"/>
</calcChain>
</file>

<file path=xl/sharedStrings.xml><?xml version="1.0" encoding="utf-8"?>
<sst xmlns="http://schemas.openxmlformats.org/spreadsheetml/2006/main" count="521" uniqueCount="40">
  <si>
    <t>last_traded_time</t>
  </si>
  <si>
    <t>ltp</t>
  </si>
  <si>
    <t>vol_traded_today</t>
  </si>
  <si>
    <t>non_zero_vol</t>
  </si>
  <si>
    <t>bid</t>
  </si>
  <si>
    <t>ask</t>
  </si>
  <si>
    <t>bid_price</t>
  </si>
  <si>
    <t>ask_price</t>
  </si>
  <si>
    <t>n_bid_ask_diff</t>
  </si>
  <si>
    <t>n_bid_ask_pr_diff</t>
  </si>
  <si>
    <t>last_traded_qty</t>
  </si>
  <si>
    <t>tot_buy_qty</t>
  </si>
  <si>
    <t>tot_buy_sig</t>
  </si>
  <si>
    <t>tot_sell_qty</t>
  </si>
  <si>
    <t>tot_sell_sig</t>
  </si>
  <si>
    <t>avg_trade_price</t>
  </si>
  <si>
    <t>open_1</t>
  </si>
  <si>
    <t>close_1</t>
  </si>
  <si>
    <t>high</t>
  </si>
  <si>
    <t>low</t>
  </si>
  <si>
    <t>N</t>
  </si>
  <si>
    <t>YES</t>
  </si>
  <si>
    <t>Y</t>
  </si>
  <si>
    <t>ce_bid_ask_diff</t>
  </si>
  <si>
    <t>ce_bid_ask_pr_diff</t>
  </si>
  <si>
    <t>open_2</t>
  </si>
  <si>
    <t>close_2</t>
  </si>
  <si>
    <t>pe_bid_ask_diff</t>
  </si>
  <si>
    <t>pe_bid_ask_pr_diff</t>
  </si>
  <si>
    <t>open_3</t>
  </si>
  <si>
    <t>close_3</t>
  </si>
  <si>
    <t>datetime</t>
  </si>
  <si>
    <t>timestamp</t>
  </si>
  <si>
    <t>open</t>
  </si>
  <si>
    <t>close</t>
  </si>
  <si>
    <t>volume</t>
  </si>
  <si>
    <t>nif_body</t>
  </si>
  <si>
    <t>vix_body</t>
  </si>
  <si>
    <t>c_Selct</t>
  </si>
  <si>
    <t>roc_vp1n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</si>
</sst>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F44C-8F2E-4B5C-9BDA-FAEDA1E8373B}">
  <sheetPr filterMode="1"/>
  <dimension ref="A1:BU76"/>
  <sheetViews>
    <sheetView tabSelected="1" workbookViewId="0">
      <pane ySplit="1" topLeftCell="A2" activePane="bottomLeft" state="frozen"/>
      <selection activeCell="BR1" sqref="BR1"/>
      <selection pane="bottomLeft" sqref="A1:BO76"/>
    </sheetView>
  </sheetViews>
  <sheetFormatPr defaultRowHeight="15" x14ac:dyDescent="0.25"/>
  <cols>
    <col min="1" max="1" width="18.5703125" bestFit="1" customWidth="1"/>
    <col min="2" max="2" width="6.7109375" bestFit="1" customWidth="1"/>
    <col min="3" max="3" width="19" bestFit="1" customWidth="1"/>
    <col min="4" max="4" width="15.42578125" bestFit="1" customWidth="1"/>
    <col min="5" max="6" width="7" bestFit="1" customWidth="1"/>
    <col min="7" max="8" width="11.5703125" bestFit="1" customWidth="1"/>
    <col min="9" max="9" width="16.42578125" bestFit="1" customWidth="1"/>
    <col min="10" max="10" width="19.28515625" bestFit="1" customWidth="1"/>
    <col min="11" max="11" width="17.28515625" bestFit="1" customWidth="1"/>
    <col min="12" max="12" width="14" bestFit="1" customWidth="1"/>
    <col min="13" max="13" width="13.5703125" bestFit="1" customWidth="1"/>
    <col min="14" max="14" width="13.85546875" bestFit="1" customWidth="1"/>
    <col min="15" max="15" width="13.42578125" bestFit="1" customWidth="1"/>
    <col min="16" max="16" width="17.5703125" bestFit="1" customWidth="1"/>
    <col min="17" max="18" width="9.85546875" bestFit="1" customWidth="1"/>
    <col min="19" max="20" width="9" bestFit="1" customWidth="1"/>
    <col min="21" max="21" width="18.5703125" bestFit="1" customWidth="1"/>
    <col min="22" max="22" width="6.7109375" bestFit="1" customWidth="1"/>
    <col min="23" max="23" width="19" bestFit="1" customWidth="1"/>
    <col min="24" max="24" width="15.42578125" bestFit="1" customWidth="1"/>
    <col min="25" max="26" width="8" bestFit="1" customWidth="1"/>
    <col min="27" max="28" width="11.5703125" bestFit="1" customWidth="1"/>
    <col min="29" max="29" width="17.28515625" bestFit="1" customWidth="1"/>
    <col min="30" max="30" width="20.28515625" bestFit="1" customWidth="1"/>
    <col min="31" max="31" width="17.28515625" bestFit="1" customWidth="1"/>
    <col min="32" max="32" width="14" bestFit="1" customWidth="1"/>
    <col min="33" max="33" width="13.5703125" bestFit="1" customWidth="1"/>
    <col min="34" max="34" width="13.85546875" bestFit="1" customWidth="1"/>
    <col min="35" max="35" width="13.42578125" bestFit="1" customWidth="1"/>
    <col min="36" max="37" width="9.85546875" bestFit="1" customWidth="1"/>
    <col min="38" max="38" width="7.140625" bestFit="1" customWidth="1"/>
    <col min="39" max="39" width="7" bestFit="1" customWidth="1"/>
    <col min="40" max="40" width="17.5703125" bestFit="1" customWidth="1"/>
    <col min="41" max="41" width="18.5703125" bestFit="1" customWidth="1"/>
    <col min="42" max="42" width="6.7109375" bestFit="1" customWidth="1"/>
    <col min="43" max="43" width="19" bestFit="1" customWidth="1"/>
    <col min="44" max="44" width="15.42578125" bestFit="1" customWidth="1"/>
    <col min="45" max="46" width="7" bestFit="1" customWidth="1"/>
    <col min="47" max="48" width="11.5703125" bestFit="1" customWidth="1"/>
    <col min="49" max="49" width="17.5703125" bestFit="1" customWidth="1"/>
    <col min="50" max="50" width="20.5703125" bestFit="1" customWidth="1"/>
    <col min="51" max="51" width="17.28515625" bestFit="1" customWidth="1"/>
    <col min="52" max="52" width="14" bestFit="1" customWidth="1"/>
    <col min="53" max="53" width="13.5703125" bestFit="1" customWidth="1"/>
    <col min="54" max="54" width="13.85546875" bestFit="1" customWidth="1"/>
    <col min="55" max="55" width="13.42578125" bestFit="1" customWidth="1"/>
    <col min="56" max="57" width="9.85546875" bestFit="1" customWidth="1"/>
    <col min="58" max="58" width="7.140625" bestFit="1" customWidth="1"/>
    <col min="59" max="59" width="7" bestFit="1" customWidth="1"/>
    <col min="60" max="60" width="17.5703125" bestFit="1" customWidth="1"/>
    <col min="61" max="61" width="15.5703125" bestFit="1" customWidth="1"/>
    <col min="62" max="62" width="12.85546875" bestFit="1" customWidth="1"/>
    <col min="63" max="63" width="7.85546875" bestFit="1" customWidth="1"/>
    <col min="64" max="64" width="7.140625" bestFit="1" customWidth="1"/>
    <col min="65" max="65" width="6.5703125" bestFit="1" customWidth="1"/>
    <col min="66" max="66" width="7.85546875" bestFit="1" customWidth="1"/>
    <col min="67" max="67" width="10" bestFit="1" customWidth="1"/>
    <col min="70" max="70" width="11.5703125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23</v>
      </c>
      <c r="AD1" t="s">
        <v>24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  <c r="AJ1" t="s">
        <v>25</v>
      </c>
      <c r="AK1" t="s">
        <v>26</v>
      </c>
      <c r="AL1" t="s">
        <v>18</v>
      </c>
      <c r="AM1" t="s">
        <v>19</v>
      </c>
      <c r="AN1" t="s">
        <v>15</v>
      </c>
      <c r="AO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6</v>
      </c>
      <c r="AV1" t="s">
        <v>7</v>
      </c>
      <c r="AW1" t="s">
        <v>27</v>
      </c>
      <c r="AX1" t="s">
        <v>28</v>
      </c>
      <c r="AY1" t="s">
        <v>10</v>
      </c>
      <c r="AZ1" t="s">
        <v>11</v>
      </c>
      <c r="BA1" t="s">
        <v>12</v>
      </c>
      <c r="BB1" t="s">
        <v>13</v>
      </c>
      <c r="BC1" t="s">
        <v>14</v>
      </c>
      <c r="BD1" t="s">
        <v>29</v>
      </c>
      <c r="BE1" t="s">
        <v>30</v>
      </c>
      <c r="BF1" t="s">
        <v>18</v>
      </c>
      <c r="BG1" t="s">
        <v>19</v>
      </c>
      <c r="BH1" t="s">
        <v>15</v>
      </c>
      <c r="BI1" t="s">
        <v>31</v>
      </c>
      <c r="BJ1" t="s">
        <v>32</v>
      </c>
      <c r="BK1" t="s">
        <v>33</v>
      </c>
      <c r="BL1" t="s">
        <v>18</v>
      </c>
      <c r="BM1" t="s">
        <v>19</v>
      </c>
      <c r="BN1" t="s">
        <v>34</v>
      </c>
      <c r="BO1" t="s">
        <v>35</v>
      </c>
      <c r="BP1" t="s">
        <v>36</v>
      </c>
      <c r="BQ1" t="s">
        <v>37</v>
      </c>
      <c r="BR1" t="s">
        <v>39</v>
      </c>
      <c r="BS1" t="s">
        <v>38</v>
      </c>
    </row>
    <row r="2" spans="1:73" x14ac:dyDescent="0.25">
      <c r="A2" s="1">
        <v>45659.385416666664</v>
      </c>
      <c r="B2">
        <v>-15.65</v>
      </c>
      <c r="C2">
        <v>168050</v>
      </c>
      <c r="D2">
        <v>129</v>
      </c>
      <c r="E2">
        <v>57050</v>
      </c>
      <c r="F2">
        <v>76375</v>
      </c>
      <c r="G2">
        <v>-11.95</v>
      </c>
      <c r="H2">
        <v>-11.9</v>
      </c>
      <c r="I2">
        <v>-19325</v>
      </c>
      <c r="J2">
        <v>-521.79999999999995</v>
      </c>
      <c r="K2">
        <v>11375</v>
      </c>
      <c r="L2">
        <v>-16775</v>
      </c>
      <c r="M2" t="s">
        <v>20</v>
      </c>
      <c r="N2">
        <v>33300</v>
      </c>
      <c r="O2" t="s">
        <v>20</v>
      </c>
      <c r="P2">
        <v>23913.06</v>
      </c>
      <c r="Q2">
        <v>23916.400000000001</v>
      </c>
      <c r="R2">
        <v>23900.75</v>
      </c>
      <c r="S2">
        <v>23929.45</v>
      </c>
      <c r="T2">
        <v>23900.1</v>
      </c>
      <c r="U2" s="1">
        <v>45659.385416666664</v>
      </c>
      <c r="V2">
        <v>8.75</v>
      </c>
      <c r="W2">
        <v>5844375</v>
      </c>
      <c r="X2">
        <v>160</v>
      </c>
      <c r="Y2">
        <v>287100</v>
      </c>
      <c r="Z2">
        <v>286050</v>
      </c>
      <c r="AA2">
        <v>8.5</v>
      </c>
      <c r="AB2">
        <v>8.5</v>
      </c>
      <c r="AC2">
        <v>1050</v>
      </c>
      <c r="AD2">
        <v>-63.95</v>
      </c>
      <c r="AE2">
        <v>43500</v>
      </c>
      <c r="AF2">
        <v>6704100</v>
      </c>
      <c r="AG2" t="s">
        <v>20</v>
      </c>
      <c r="AH2">
        <v>266850</v>
      </c>
      <c r="AI2" t="s">
        <v>20</v>
      </c>
      <c r="AJ2">
        <v>58.2</v>
      </c>
      <c r="AK2">
        <v>66.95</v>
      </c>
      <c r="AL2">
        <v>74</v>
      </c>
      <c r="AM2">
        <v>58.2</v>
      </c>
      <c r="AN2">
        <v>66.569999999999993</v>
      </c>
      <c r="AO2" s="1">
        <v>45659.385416666664</v>
      </c>
      <c r="AP2">
        <v>7.5</v>
      </c>
      <c r="AQ2">
        <v>1255125</v>
      </c>
      <c r="AR2">
        <v>158</v>
      </c>
      <c r="AS2">
        <v>148725</v>
      </c>
      <c r="AT2">
        <v>131100</v>
      </c>
      <c r="AU2">
        <v>7.1</v>
      </c>
      <c r="AV2">
        <v>7.1</v>
      </c>
      <c r="AW2">
        <v>17625</v>
      </c>
      <c r="AX2">
        <v>-142.44999999999999</v>
      </c>
      <c r="AY2">
        <v>42825</v>
      </c>
      <c r="AZ2">
        <v>7275075</v>
      </c>
      <c r="BA2" t="s">
        <v>20</v>
      </c>
      <c r="BB2">
        <v>11325</v>
      </c>
      <c r="BC2" t="s">
        <v>20</v>
      </c>
      <c r="BD2">
        <v>165</v>
      </c>
      <c r="BE2">
        <v>172.5</v>
      </c>
      <c r="BF2">
        <v>173.1</v>
      </c>
      <c r="BG2">
        <v>150.69999999999999</v>
      </c>
      <c r="BH2">
        <v>160.33000000000001</v>
      </c>
      <c r="BI2" s="1">
        <v>45659.385416666664</v>
      </c>
      <c r="BJ2">
        <v>1735789500</v>
      </c>
      <c r="BK2">
        <v>14.51</v>
      </c>
      <c r="BL2">
        <v>14.77</v>
      </c>
      <c r="BM2">
        <v>14.3</v>
      </c>
      <c r="BN2">
        <v>14.77</v>
      </c>
      <c r="BO2">
        <v>0</v>
      </c>
      <c r="BP2">
        <f>ABS(Q2-R2)</f>
        <v>15.650000000001455</v>
      </c>
      <c r="BQ2">
        <f>ABS(BK2-BN2)</f>
        <v>0.25999999999999979</v>
      </c>
      <c r="BR2">
        <f>(0.01*BP2)/BQ2</f>
        <v>0.6019230769231334</v>
      </c>
      <c r="BS2">
        <f>BR46</f>
        <v>1.4142857142859164</v>
      </c>
      <c r="BT2" t="e">
        <f>BP2/BR1/100</f>
        <v>#VALUE!</v>
      </c>
    </row>
    <row r="3" spans="1:73" hidden="1" x14ac:dyDescent="0.25">
      <c r="A3" s="1">
        <v>45659.388888888891</v>
      </c>
      <c r="B3">
        <v>-12.95</v>
      </c>
      <c r="C3">
        <v>238400</v>
      </c>
      <c r="D3">
        <v>179</v>
      </c>
      <c r="E3">
        <v>76250</v>
      </c>
      <c r="F3">
        <v>84425</v>
      </c>
      <c r="G3">
        <v>-12.6</v>
      </c>
      <c r="H3">
        <v>-12.1</v>
      </c>
      <c r="I3">
        <v>-8175</v>
      </c>
      <c r="J3">
        <v>-677.3</v>
      </c>
      <c r="K3">
        <v>18775</v>
      </c>
      <c r="L3">
        <v>115700</v>
      </c>
      <c r="M3" t="s">
        <v>22</v>
      </c>
      <c r="N3">
        <v>26825</v>
      </c>
      <c r="O3" t="s">
        <v>20</v>
      </c>
      <c r="P3">
        <v>23900.27</v>
      </c>
      <c r="Q3">
        <v>23900.1</v>
      </c>
      <c r="R3">
        <v>23887.15</v>
      </c>
      <c r="S3">
        <v>23902.6</v>
      </c>
      <c r="T3">
        <v>23863.1</v>
      </c>
      <c r="U3" s="1">
        <v>45659.388888888891</v>
      </c>
      <c r="V3">
        <v>-4.75</v>
      </c>
      <c r="W3">
        <v>4623375</v>
      </c>
      <c r="X3">
        <v>176</v>
      </c>
      <c r="Y3">
        <v>586125</v>
      </c>
      <c r="Z3">
        <v>447750</v>
      </c>
      <c r="AA3">
        <v>-4.95</v>
      </c>
      <c r="AB3">
        <v>-4.95</v>
      </c>
      <c r="AC3">
        <v>138375</v>
      </c>
      <c r="AD3">
        <v>-62.95</v>
      </c>
      <c r="AE3">
        <v>44700</v>
      </c>
      <c r="AF3">
        <v>312075</v>
      </c>
      <c r="AG3" t="s">
        <v>20</v>
      </c>
      <c r="AH3">
        <v>80925</v>
      </c>
      <c r="AI3" t="s">
        <v>20</v>
      </c>
      <c r="AJ3">
        <v>64</v>
      </c>
      <c r="AK3">
        <v>59.25</v>
      </c>
      <c r="AL3">
        <v>64</v>
      </c>
      <c r="AM3">
        <v>58.45</v>
      </c>
      <c r="AN3">
        <v>64.34</v>
      </c>
      <c r="AO3" s="1">
        <v>45659.388888888891</v>
      </c>
      <c r="AP3">
        <v>11.1</v>
      </c>
      <c r="AQ3">
        <v>1490325</v>
      </c>
      <c r="AR3">
        <v>180</v>
      </c>
      <c r="AS3">
        <v>130875</v>
      </c>
      <c r="AT3">
        <v>183375</v>
      </c>
      <c r="AU3">
        <v>10.4</v>
      </c>
      <c r="AV3">
        <v>10.45</v>
      </c>
      <c r="AW3">
        <v>-52500</v>
      </c>
      <c r="AX3">
        <v>-183.8</v>
      </c>
      <c r="AY3">
        <v>48375</v>
      </c>
      <c r="AZ3">
        <v>-108525</v>
      </c>
      <c r="BA3" t="s">
        <v>22</v>
      </c>
      <c r="BB3">
        <v>55650</v>
      </c>
      <c r="BC3" t="s">
        <v>22</v>
      </c>
      <c r="BD3">
        <v>175.5</v>
      </c>
      <c r="BE3">
        <v>186.6</v>
      </c>
      <c r="BF3">
        <v>199.45</v>
      </c>
      <c r="BG3">
        <v>175.5</v>
      </c>
      <c r="BH3">
        <v>173.06</v>
      </c>
      <c r="BI3" s="1">
        <v>45659.388888888891</v>
      </c>
      <c r="BJ3">
        <v>1735789800</v>
      </c>
      <c r="BK3">
        <v>14.78</v>
      </c>
      <c r="BL3">
        <v>14.8</v>
      </c>
      <c r="BM3">
        <v>14.62</v>
      </c>
      <c r="BN3">
        <v>14.68</v>
      </c>
      <c r="BO3">
        <v>0</v>
      </c>
      <c r="BP3">
        <f t="shared" ref="BP3:BP66" si="0">ABS(Q3-R3)</f>
        <v>12.94999999999709</v>
      </c>
      <c r="BQ3">
        <f t="shared" ref="BQ3:BQ66" si="1">ABS(BK3-BN3)</f>
        <v>9.9999999999999645E-2</v>
      </c>
      <c r="BR3">
        <f>(0.01*BP3)/BQ3</f>
        <v>1.2949999999997135</v>
      </c>
      <c r="BT3">
        <f>BP3/BR2/100</f>
        <v>0.2151437699679826</v>
      </c>
      <c r="BU3">
        <f>IF(BQ3&lt;BT3,-1,1)</f>
        <v>-1</v>
      </c>
    </row>
    <row r="4" spans="1:73" s="2" customFormat="1" hidden="1" x14ac:dyDescent="0.25">
      <c r="A4" s="1">
        <v>45659.392361111109</v>
      </c>
      <c r="B4">
        <v>-1.3</v>
      </c>
      <c r="C4">
        <v>99850</v>
      </c>
      <c r="D4">
        <v>179</v>
      </c>
      <c r="E4">
        <v>87550</v>
      </c>
      <c r="F4">
        <v>80400</v>
      </c>
      <c r="G4">
        <v>-5</v>
      </c>
      <c r="H4">
        <v>-1.75</v>
      </c>
      <c r="I4">
        <v>7150</v>
      </c>
      <c r="J4">
        <v>-481.2</v>
      </c>
      <c r="K4">
        <v>15975</v>
      </c>
      <c r="L4">
        <v>37525</v>
      </c>
      <c r="M4" t="s">
        <v>20</v>
      </c>
      <c r="N4">
        <v>3875</v>
      </c>
      <c r="O4" t="s">
        <v>20</v>
      </c>
      <c r="P4">
        <v>23899.21</v>
      </c>
      <c r="Q4">
        <v>23885.95</v>
      </c>
      <c r="R4">
        <v>23884.65</v>
      </c>
      <c r="S4">
        <v>23906.95</v>
      </c>
      <c r="T4">
        <v>23881.35</v>
      </c>
      <c r="U4" s="1">
        <v>45659.392361111109</v>
      </c>
      <c r="V4">
        <v>-3.75</v>
      </c>
      <c r="W4">
        <v>3723675</v>
      </c>
      <c r="X4">
        <v>180</v>
      </c>
      <c r="Y4">
        <v>610275</v>
      </c>
      <c r="Z4">
        <v>606150</v>
      </c>
      <c r="AA4">
        <v>-3.65</v>
      </c>
      <c r="AB4">
        <v>-3.7</v>
      </c>
      <c r="AC4">
        <v>4125</v>
      </c>
      <c r="AD4">
        <v>-69</v>
      </c>
      <c r="AE4">
        <v>50475</v>
      </c>
      <c r="AF4">
        <v>-22650</v>
      </c>
      <c r="AG4" t="s">
        <v>21</v>
      </c>
      <c r="AH4">
        <v>95625</v>
      </c>
      <c r="AI4" t="s">
        <v>20</v>
      </c>
      <c r="AJ4">
        <v>58.6</v>
      </c>
      <c r="AK4">
        <v>54.85</v>
      </c>
      <c r="AL4">
        <v>64.849999999999994</v>
      </c>
      <c r="AM4">
        <v>54.85</v>
      </c>
      <c r="AN4">
        <v>63.5</v>
      </c>
      <c r="AO4" s="1">
        <v>45659.392361111109</v>
      </c>
      <c r="AP4">
        <v>6.7</v>
      </c>
      <c r="AQ4">
        <v>1066425</v>
      </c>
      <c r="AR4">
        <v>179</v>
      </c>
      <c r="AS4">
        <v>114675</v>
      </c>
      <c r="AT4">
        <v>150225</v>
      </c>
      <c r="AU4">
        <v>6.85</v>
      </c>
      <c r="AV4">
        <v>6.9</v>
      </c>
      <c r="AW4">
        <v>-35550</v>
      </c>
      <c r="AX4">
        <v>-164.65</v>
      </c>
      <c r="AY4">
        <v>46350</v>
      </c>
      <c r="AZ4">
        <v>26400</v>
      </c>
      <c r="BA4" t="s">
        <v>21</v>
      </c>
      <c r="BB4">
        <v>-52875</v>
      </c>
      <c r="BC4" t="s">
        <v>21</v>
      </c>
      <c r="BD4">
        <v>187.55</v>
      </c>
      <c r="BE4">
        <v>194.25</v>
      </c>
      <c r="BF4">
        <v>194.25</v>
      </c>
      <c r="BG4">
        <v>172.35</v>
      </c>
      <c r="BH4">
        <v>175.43</v>
      </c>
      <c r="BI4" s="1">
        <v>45659.392361111109</v>
      </c>
      <c r="BJ4">
        <v>1735790100</v>
      </c>
      <c r="BK4">
        <v>14.69</v>
      </c>
      <c r="BL4">
        <v>14.72</v>
      </c>
      <c r="BM4">
        <v>14.65</v>
      </c>
      <c r="BN4">
        <v>14.68</v>
      </c>
      <c r="BO4">
        <v>0</v>
      </c>
      <c r="BP4" s="2">
        <f t="shared" si="0"/>
        <v>1.2999999999992724</v>
      </c>
      <c r="BQ4" s="2">
        <f t="shared" si="1"/>
        <v>9.9999999999997868E-3</v>
      </c>
      <c r="BR4" s="2">
        <f t="shared" ref="BR4:BR16" si="2">(0.01*BP4)/BQ4</f>
        <v>1.2999999999993002</v>
      </c>
      <c r="BT4" s="2">
        <f>BP4/BR3/100</f>
        <v>1.0038610038606642E-2</v>
      </c>
      <c r="BU4" s="2">
        <f t="shared" ref="BU4:BU67" si="3">IF(BQ4&lt;BT4,-1,1)</f>
        <v>-1</v>
      </c>
    </row>
    <row r="5" spans="1:73" hidden="1" x14ac:dyDescent="0.25">
      <c r="A5" s="1">
        <v>45659.395833333336</v>
      </c>
      <c r="B5">
        <v>32.799999999999997</v>
      </c>
      <c r="C5">
        <v>84150</v>
      </c>
      <c r="D5">
        <v>181</v>
      </c>
      <c r="E5">
        <v>48925</v>
      </c>
      <c r="F5">
        <v>49550</v>
      </c>
      <c r="G5">
        <v>29.5</v>
      </c>
      <c r="H5">
        <v>27.25</v>
      </c>
      <c r="I5">
        <v>-625</v>
      </c>
      <c r="J5">
        <v>-888.95</v>
      </c>
      <c r="K5">
        <v>13825</v>
      </c>
      <c r="L5">
        <v>36225</v>
      </c>
      <c r="M5" t="s">
        <v>20</v>
      </c>
      <c r="N5">
        <v>2975</v>
      </c>
      <c r="O5" t="s">
        <v>22</v>
      </c>
      <c r="P5">
        <v>23898.12</v>
      </c>
      <c r="Q5">
        <v>23875</v>
      </c>
      <c r="R5">
        <v>23907.8</v>
      </c>
      <c r="S5">
        <v>23914.7</v>
      </c>
      <c r="T5">
        <v>23866</v>
      </c>
      <c r="U5" s="1">
        <v>45659.395833333336</v>
      </c>
      <c r="V5">
        <v>5.95</v>
      </c>
      <c r="W5">
        <v>4114275</v>
      </c>
      <c r="X5">
        <v>180</v>
      </c>
      <c r="Y5">
        <v>693675</v>
      </c>
      <c r="Z5">
        <v>756000</v>
      </c>
      <c r="AA5">
        <v>5.6</v>
      </c>
      <c r="AB5">
        <v>5.6</v>
      </c>
      <c r="AC5">
        <v>-62325</v>
      </c>
      <c r="AD5">
        <v>-64</v>
      </c>
      <c r="AE5">
        <v>49875</v>
      </c>
      <c r="AF5">
        <v>164025</v>
      </c>
      <c r="AG5" t="s">
        <v>22</v>
      </c>
      <c r="AH5">
        <v>36750</v>
      </c>
      <c r="AI5" t="s">
        <v>20</v>
      </c>
      <c r="AJ5">
        <v>54.2</v>
      </c>
      <c r="AK5">
        <v>60.15</v>
      </c>
      <c r="AL5">
        <v>63.35</v>
      </c>
      <c r="AM5">
        <v>53.45</v>
      </c>
      <c r="AN5">
        <v>62.28</v>
      </c>
      <c r="AO5" s="1">
        <v>45659.395833333336</v>
      </c>
      <c r="AP5">
        <v>-26.75</v>
      </c>
      <c r="AQ5">
        <v>1255575</v>
      </c>
      <c r="AR5">
        <v>180</v>
      </c>
      <c r="AS5">
        <v>165825</v>
      </c>
      <c r="AT5">
        <v>156750</v>
      </c>
      <c r="AU5">
        <v>-26.25</v>
      </c>
      <c r="AV5">
        <v>-26.35</v>
      </c>
      <c r="AW5">
        <v>9075</v>
      </c>
      <c r="AX5">
        <v>-176.75</v>
      </c>
      <c r="AY5">
        <v>42525</v>
      </c>
      <c r="AZ5">
        <v>-19275</v>
      </c>
      <c r="BA5" t="s">
        <v>22</v>
      </c>
      <c r="BB5">
        <v>69825</v>
      </c>
      <c r="BC5" t="s">
        <v>22</v>
      </c>
      <c r="BD5">
        <v>196</v>
      </c>
      <c r="BE5">
        <v>169.25</v>
      </c>
      <c r="BF5">
        <v>198.4</v>
      </c>
      <c r="BG5">
        <v>164.15</v>
      </c>
      <c r="BH5">
        <v>176.47</v>
      </c>
      <c r="BI5" s="1">
        <v>45659.395833333336</v>
      </c>
      <c r="BJ5">
        <v>1735790400</v>
      </c>
      <c r="BK5">
        <v>14.67</v>
      </c>
      <c r="BL5">
        <v>14.72</v>
      </c>
      <c r="BM5">
        <v>14.59</v>
      </c>
      <c r="BN5">
        <v>14.64</v>
      </c>
      <c r="BO5">
        <v>0</v>
      </c>
      <c r="BP5">
        <f t="shared" si="0"/>
        <v>32.799999999999272</v>
      </c>
      <c r="BQ5">
        <f t="shared" si="1"/>
        <v>2.9999999999999361E-2</v>
      </c>
      <c r="BR5">
        <f t="shared" si="2"/>
        <v>10.933333333333325</v>
      </c>
      <c r="BT5">
        <f t="shared" ref="BT5:BT68" si="4">BP5/BR4/100</f>
        <v>0.25230769230782252</v>
      </c>
      <c r="BU5">
        <f t="shared" si="3"/>
        <v>-1</v>
      </c>
    </row>
    <row r="6" spans="1:73" x14ac:dyDescent="0.25">
      <c r="A6" s="1">
        <v>45659.399305555555</v>
      </c>
      <c r="B6">
        <v>29.6</v>
      </c>
      <c r="C6">
        <v>133450</v>
      </c>
      <c r="D6">
        <v>178</v>
      </c>
      <c r="E6">
        <v>53275</v>
      </c>
      <c r="F6">
        <v>62950</v>
      </c>
      <c r="G6">
        <v>27.3</v>
      </c>
      <c r="H6">
        <v>31</v>
      </c>
      <c r="I6">
        <v>-9675</v>
      </c>
      <c r="J6">
        <v>-1059.05</v>
      </c>
      <c r="K6">
        <v>14500</v>
      </c>
      <c r="L6">
        <v>19800</v>
      </c>
      <c r="M6" t="s">
        <v>20</v>
      </c>
      <c r="N6">
        <v>48250</v>
      </c>
      <c r="O6" t="s">
        <v>21</v>
      </c>
      <c r="P6">
        <v>23903.02</v>
      </c>
      <c r="Q6">
        <v>23907.05</v>
      </c>
      <c r="R6">
        <v>23936.65</v>
      </c>
      <c r="S6">
        <v>23946.3</v>
      </c>
      <c r="T6">
        <v>23904</v>
      </c>
      <c r="U6" s="1">
        <v>45659.399305555555</v>
      </c>
      <c r="V6">
        <v>11.3</v>
      </c>
      <c r="W6">
        <v>7771350</v>
      </c>
      <c r="X6">
        <v>179</v>
      </c>
      <c r="Y6">
        <v>455850</v>
      </c>
      <c r="Z6">
        <v>473250</v>
      </c>
      <c r="AA6">
        <v>11.35</v>
      </c>
      <c r="AB6">
        <v>11.35</v>
      </c>
      <c r="AC6">
        <v>-17400</v>
      </c>
      <c r="AD6">
        <v>-75.2</v>
      </c>
      <c r="AE6">
        <v>47250</v>
      </c>
      <c r="AF6">
        <v>89925</v>
      </c>
      <c r="AG6" t="s">
        <v>20</v>
      </c>
      <c r="AH6">
        <v>-70950</v>
      </c>
      <c r="AI6" t="s">
        <v>22</v>
      </c>
      <c r="AJ6">
        <v>59.85</v>
      </c>
      <c r="AK6">
        <v>71.150000000000006</v>
      </c>
      <c r="AL6">
        <v>78.650000000000006</v>
      </c>
      <c r="AM6">
        <v>58.1</v>
      </c>
      <c r="AN6">
        <v>64.38</v>
      </c>
      <c r="AO6" s="1">
        <v>45659.399305555555</v>
      </c>
      <c r="AP6">
        <v>-27.15</v>
      </c>
      <c r="AQ6">
        <v>1731375</v>
      </c>
      <c r="AR6">
        <v>179</v>
      </c>
      <c r="AS6">
        <v>201075</v>
      </c>
      <c r="AT6">
        <v>173925</v>
      </c>
      <c r="AU6">
        <v>-26.8</v>
      </c>
      <c r="AV6">
        <v>-26.85</v>
      </c>
      <c r="AW6">
        <v>27150</v>
      </c>
      <c r="AX6">
        <v>-156.30000000000001</v>
      </c>
      <c r="AY6">
        <v>44475</v>
      </c>
      <c r="AZ6">
        <v>12075</v>
      </c>
      <c r="BA6" t="s">
        <v>21</v>
      </c>
      <c r="BB6">
        <v>27600</v>
      </c>
      <c r="BC6" t="s">
        <v>20</v>
      </c>
      <c r="BD6">
        <v>169.95</v>
      </c>
      <c r="BE6">
        <v>142.80000000000001</v>
      </c>
      <c r="BF6">
        <v>170.4</v>
      </c>
      <c r="BG6">
        <v>136.80000000000001</v>
      </c>
      <c r="BH6">
        <v>169.63</v>
      </c>
      <c r="BI6" s="1">
        <v>45659.399305555555</v>
      </c>
      <c r="BJ6">
        <v>1735790700</v>
      </c>
      <c r="BK6">
        <v>14.63</v>
      </c>
      <c r="BL6">
        <v>14.64</v>
      </c>
      <c r="BM6">
        <v>14.5</v>
      </c>
      <c r="BN6">
        <v>14.55</v>
      </c>
      <c r="BO6">
        <v>0</v>
      </c>
      <c r="BP6">
        <f t="shared" si="0"/>
        <v>29.600000000002183</v>
      </c>
      <c r="BQ6">
        <f t="shared" si="1"/>
        <v>8.0000000000000071E-2</v>
      </c>
      <c r="BR6">
        <f t="shared" si="2"/>
        <v>3.7000000000002697</v>
      </c>
      <c r="BT6">
        <f t="shared" si="4"/>
        <v>2.7073170731709336E-2</v>
      </c>
      <c r="BU6">
        <f t="shared" si="3"/>
        <v>1</v>
      </c>
    </row>
    <row r="7" spans="1:73" s="2" customFormat="1" x14ac:dyDescent="0.25">
      <c r="A7" s="1">
        <v>45659.402777777781</v>
      </c>
      <c r="B7">
        <v>7.5</v>
      </c>
      <c r="C7">
        <v>97950</v>
      </c>
      <c r="D7">
        <v>179</v>
      </c>
      <c r="E7">
        <v>44475</v>
      </c>
      <c r="F7">
        <v>34475</v>
      </c>
      <c r="G7">
        <v>5.85</v>
      </c>
      <c r="H7">
        <v>5.2</v>
      </c>
      <c r="I7">
        <v>10000</v>
      </c>
      <c r="J7">
        <v>-1360.8</v>
      </c>
      <c r="K7">
        <v>14250</v>
      </c>
      <c r="L7">
        <v>10500</v>
      </c>
      <c r="M7" t="s">
        <v>20</v>
      </c>
      <c r="N7">
        <v>31375</v>
      </c>
      <c r="O7" t="s">
        <v>20</v>
      </c>
      <c r="P7">
        <v>23907.8</v>
      </c>
      <c r="Q7">
        <v>23941.8</v>
      </c>
      <c r="R7">
        <v>23949.3</v>
      </c>
      <c r="S7">
        <v>23959</v>
      </c>
      <c r="T7">
        <v>23931.75</v>
      </c>
      <c r="U7" s="1">
        <v>45659.402777777781</v>
      </c>
      <c r="V7">
        <v>1.65</v>
      </c>
      <c r="W7">
        <v>7046325</v>
      </c>
      <c r="X7">
        <v>181</v>
      </c>
      <c r="Y7">
        <v>376575</v>
      </c>
      <c r="Z7">
        <v>390450</v>
      </c>
      <c r="AA7">
        <v>1.55</v>
      </c>
      <c r="AB7">
        <v>1.5</v>
      </c>
      <c r="AC7">
        <v>-13875</v>
      </c>
      <c r="AD7">
        <v>-72.849999999999994</v>
      </c>
      <c r="AE7">
        <v>42150</v>
      </c>
      <c r="AF7">
        <v>82050</v>
      </c>
      <c r="AG7" t="s">
        <v>20</v>
      </c>
      <c r="AH7">
        <v>66075</v>
      </c>
      <c r="AI7" t="s">
        <v>21</v>
      </c>
      <c r="AJ7">
        <v>71.55</v>
      </c>
      <c r="AK7">
        <v>73.2</v>
      </c>
      <c r="AL7">
        <v>82.55</v>
      </c>
      <c r="AM7">
        <v>67.75</v>
      </c>
      <c r="AN7">
        <v>66.510000000000005</v>
      </c>
      <c r="AO7" s="1">
        <v>45659.402777777781</v>
      </c>
      <c r="AP7">
        <v>-7.7</v>
      </c>
      <c r="AQ7">
        <v>1818225</v>
      </c>
      <c r="AR7">
        <v>181</v>
      </c>
      <c r="AS7">
        <v>167325</v>
      </c>
      <c r="AT7">
        <v>190125</v>
      </c>
      <c r="AU7">
        <v>-8.1999999999999993</v>
      </c>
      <c r="AV7">
        <v>-8.25</v>
      </c>
      <c r="AW7">
        <v>-22800</v>
      </c>
      <c r="AX7">
        <v>-128.4</v>
      </c>
      <c r="AY7">
        <v>38850</v>
      </c>
      <c r="AZ7">
        <v>59925</v>
      </c>
      <c r="BA7" t="s">
        <v>21</v>
      </c>
      <c r="BB7">
        <v>66225</v>
      </c>
      <c r="BC7" t="s">
        <v>22</v>
      </c>
      <c r="BD7">
        <v>142.35</v>
      </c>
      <c r="BE7">
        <v>134.65</v>
      </c>
      <c r="BF7">
        <v>146.80000000000001</v>
      </c>
      <c r="BG7">
        <v>128.5</v>
      </c>
      <c r="BH7">
        <v>162.72</v>
      </c>
      <c r="BI7" s="1">
        <v>45659.402777777781</v>
      </c>
      <c r="BJ7">
        <v>1735791000</v>
      </c>
      <c r="BK7">
        <v>14.54</v>
      </c>
      <c r="BL7">
        <v>14.57</v>
      </c>
      <c r="BM7">
        <v>14.44</v>
      </c>
      <c r="BN7">
        <v>14.48</v>
      </c>
      <c r="BO7">
        <v>0</v>
      </c>
      <c r="BP7" s="2">
        <f t="shared" si="0"/>
        <v>7.5</v>
      </c>
      <c r="BQ7" s="2">
        <f t="shared" si="1"/>
        <v>5.9999999999998721E-2</v>
      </c>
      <c r="BR7" s="2">
        <f t="shared" si="2"/>
        <v>1.2500000000000266</v>
      </c>
      <c r="BT7" s="2">
        <f t="shared" si="4"/>
        <v>2.0270270270268793E-2</v>
      </c>
      <c r="BU7" s="2">
        <f t="shared" si="3"/>
        <v>1</v>
      </c>
    </row>
    <row r="8" spans="1:73" s="2" customFormat="1" hidden="1" x14ac:dyDescent="0.25">
      <c r="A8" s="1">
        <v>45659.40625</v>
      </c>
      <c r="B8">
        <v>-15.2</v>
      </c>
      <c r="C8">
        <v>82550</v>
      </c>
      <c r="D8">
        <v>179</v>
      </c>
      <c r="E8">
        <v>71875</v>
      </c>
      <c r="F8">
        <v>50050</v>
      </c>
      <c r="G8">
        <v>-18.649999999999999</v>
      </c>
      <c r="H8">
        <v>-19.8</v>
      </c>
      <c r="I8">
        <v>21825</v>
      </c>
      <c r="J8">
        <v>-1378.45</v>
      </c>
      <c r="K8">
        <v>15550</v>
      </c>
      <c r="L8">
        <v>159825</v>
      </c>
      <c r="M8" t="s">
        <v>22</v>
      </c>
      <c r="N8">
        <v>21000</v>
      </c>
      <c r="O8" t="s">
        <v>20</v>
      </c>
      <c r="P8">
        <v>23910.49</v>
      </c>
      <c r="Q8">
        <v>23944.15</v>
      </c>
      <c r="R8">
        <v>23928.95</v>
      </c>
      <c r="S8">
        <v>23955.75</v>
      </c>
      <c r="T8">
        <v>23924.799999999999</v>
      </c>
      <c r="U8" s="1">
        <v>45659.40625</v>
      </c>
      <c r="V8">
        <v>-6.2</v>
      </c>
      <c r="W8">
        <v>5997525</v>
      </c>
      <c r="X8">
        <v>179</v>
      </c>
      <c r="Y8">
        <v>495600</v>
      </c>
      <c r="Z8">
        <v>465975</v>
      </c>
      <c r="AA8">
        <v>-5.85</v>
      </c>
      <c r="AB8">
        <v>-5.85</v>
      </c>
      <c r="AC8">
        <v>29625</v>
      </c>
      <c r="AD8">
        <v>-71.400000000000006</v>
      </c>
      <c r="AE8">
        <v>47250</v>
      </c>
      <c r="AF8">
        <v>17100</v>
      </c>
      <c r="AG8" t="s">
        <v>20</v>
      </c>
      <c r="AH8">
        <v>89100</v>
      </c>
      <c r="AI8" t="s">
        <v>21</v>
      </c>
      <c r="AJ8">
        <v>73</v>
      </c>
      <c r="AK8">
        <v>66.8</v>
      </c>
      <c r="AL8">
        <v>79.150000000000006</v>
      </c>
      <c r="AM8">
        <v>62.55</v>
      </c>
      <c r="AN8">
        <v>67.099999999999994</v>
      </c>
      <c r="AO8" s="1">
        <v>45659.40625</v>
      </c>
      <c r="AP8">
        <v>8.9</v>
      </c>
      <c r="AQ8">
        <v>1797450</v>
      </c>
      <c r="AR8">
        <v>179</v>
      </c>
      <c r="AS8">
        <v>184050</v>
      </c>
      <c r="AT8">
        <v>207075</v>
      </c>
      <c r="AU8">
        <v>8.6</v>
      </c>
      <c r="AV8">
        <v>8.5500000000000007</v>
      </c>
      <c r="AW8">
        <v>-23025</v>
      </c>
      <c r="AX8">
        <v>-132.69999999999999</v>
      </c>
      <c r="AY8">
        <v>43200</v>
      </c>
      <c r="AZ8">
        <v>41100</v>
      </c>
      <c r="BA8" t="s">
        <v>20</v>
      </c>
      <c r="BB8">
        <v>15975</v>
      </c>
      <c r="BC8" t="s">
        <v>20</v>
      </c>
      <c r="BD8">
        <v>134.4</v>
      </c>
      <c r="BE8">
        <v>143.30000000000001</v>
      </c>
      <c r="BF8">
        <v>147</v>
      </c>
      <c r="BG8">
        <v>126</v>
      </c>
      <c r="BH8">
        <v>158.47999999999999</v>
      </c>
      <c r="BI8" s="1">
        <v>45659.40625</v>
      </c>
      <c r="BJ8">
        <v>1735791300</v>
      </c>
      <c r="BK8">
        <v>14.47</v>
      </c>
      <c r="BL8">
        <v>14.54</v>
      </c>
      <c r="BM8">
        <v>14.45</v>
      </c>
      <c r="BN8">
        <v>14.52</v>
      </c>
      <c r="BO8">
        <v>0</v>
      </c>
      <c r="BP8" s="2">
        <f t="shared" si="0"/>
        <v>15.200000000000728</v>
      </c>
      <c r="BQ8" s="2">
        <f t="shared" si="1"/>
        <v>4.9999999999998934E-2</v>
      </c>
      <c r="BR8" s="2">
        <f t="shared" si="2"/>
        <v>3.0400000000002101</v>
      </c>
      <c r="BT8">
        <f t="shared" si="4"/>
        <v>0.12160000000000323</v>
      </c>
      <c r="BU8" s="2">
        <f t="shared" si="3"/>
        <v>-1</v>
      </c>
    </row>
    <row r="9" spans="1:73" s="2" customFormat="1" x14ac:dyDescent="0.25">
      <c r="A9" s="1">
        <v>45659.409722222219</v>
      </c>
      <c r="B9">
        <v>9.5500000000000007</v>
      </c>
      <c r="C9">
        <v>65875</v>
      </c>
      <c r="D9">
        <v>178</v>
      </c>
      <c r="E9">
        <v>45375</v>
      </c>
      <c r="F9">
        <v>33500</v>
      </c>
      <c r="G9">
        <v>4.1500000000000004</v>
      </c>
      <c r="H9">
        <v>6.9</v>
      </c>
      <c r="I9">
        <v>11875</v>
      </c>
      <c r="J9">
        <v>-1588.05</v>
      </c>
      <c r="K9">
        <v>13450</v>
      </c>
      <c r="L9">
        <v>10375</v>
      </c>
      <c r="M9" t="s">
        <v>20</v>
      </c>
      <c r="N9">
        <v>-1825</v>
      </c>
      <c r="O9" t="s">
        <v>22</v>
      </c>
      <c r="P9">
        <v>23911.25</v>
      </c>
      <c r="Q9">
        <v>23930</v>
      </c>
      <c r="R9">
        <v>23939.55</v>
      </c>
      <c r="S9">
        <v>23945</v>
      </c>
      <c r="T9">
        <v>23910</v>
      </c>
      <c r="U9" s="1">
        <v>45659.409722222219</v>
      </c>
      <c r="V9">
        <v>0.55000000000000004</v>
      </c>
      <c r="W9">
        <v>5703375</v>
      </c>
      <c r="X9">
        <v>180</v>
      </c>
      <c r="Y9">
        <v>468000</v>
      </c>
      <c r="Z9">
        <v>466200</v>
      </c>
      <c r="AA9">
        <v>-0.05</v>
      </c>
      <c r="AB9">
        <v>-0.05</v>
      </c>
      <c r="AC9">
        <v>1800</v>
      </c>
      <c r="AD9">
        <v>-67</v>
      </c>
      <c r="AE9">
        <v>47925</v>
      </c>
      <c r="AF9">
        <v>-53025</v>
      </c>
      <c r="AG9" t="s">
        <v>21</v>
      </c>
      <c r="AH9">
        <v>-35475</v>
      </c>
      <c r="AI9" t="s">
        <v>22</v>
      </c>
      <c r="AJ9">
        <v>66.05</v>
      </c>
      <c r="AK9">
        <v>66.599999999999994</v>
      </c>
      <c r="AL9">
        <v>72.599999999999994</v>
      </c>
      <c r="AM9">
        <v>57.45</v>
      </c>
      <c r="AN9">
        <v>66.680000000000007</v>
      </c>
      <c r="AO9" s="1">
        <v>45659.409722222219</v>
      </c>
      <c r="AP9">
        <v>-6.15</v>
      </c>
      <c r="AQ9">
        <v>2453550</v>
      </c>
      <c r="AR9">
        <v>180</v>
      </c>
      <c r="AS9">
        <v>192075</v>
      </c>
      <c r="AT9">
        <v>195675</v>
      </c>
      <c r="AU9">
        <v>-5.0999999999999996</v>
      </c>
      <c r="AV9">
        <v>-5.15</v>
      </c>
      <c r="AW9">
        <v>-3600</v>
      </c>
      <c r="AX9">
        <v>-139.55000000000001</v>
      </c>
      <c r="AY9">
        <v>42600</v>
      </c>
      <c r="AZ9">
        <v>-55875</v>
      </c>
      <c r="BA9" t="s">
        <v>22</v>
      </c>
      <c r="BB9">
        <v>-30300</v>
      </c>
      <c r="BC9" t="s">
        <v>21</v>
      </c>
      <c r="BD9">
        <v>143.6</v>
      </c>
      <c r="BE9">
        <v>137.44999999999999</v>
      </c>
      <c r="BF9">
        <v>158.25</v>
      </c>
      <c r="BG9">
        <v>131.94999999999999</v>
      </c>
      <c r="BH9">
        <v>156.44999999999999</v>
      </c>
      <c r="BI9" s="1">
        <v>45659.409722222219</v>
      </c>
      <c r="BJ9">
        <v>1735791600</v>
      </c>
      <c r="BK9">
        <v>14.54</v>
      </c>
      <c r="BL9">
        <v>14.55</v>
      </c>
      <c r="BM9">
        <v>14.48</v>
      </c>
      <c r="BN9">
        <v>14.48</v>
      </c>
      <c r="BO9">
        <v>0</v>
      </c>
      <c r="BP9" s="2">
        <f t="shared" si="0"/>
        <v>9.5499999999992724</v>
      </c>
      <c r="BQ9" s="2">
        <f t="shared" si="1"/>
        <v>5.9999999999998721E-2</v>
      </c>
      <c r="BR9" s="2">
        <f t="shared" si="2"/>
        <v>1.5916666666665795</v>
      </c>
      <c r="BT9">
        <f t="shared" si="4"/>
        <v>3.1414473684205961E-2</v>
      </c>
      <c r="BU9" s="2">
        <f t="shared" si="3"/>
        <v>1</v>
      </c>
    </row>
    <row r="10" spans="1:73" s="2" customFormat="1" hidden="1" x14ac:dyDescent="0.25">
      <c r="A10" s="1">
        <v>45659.413194444445</v>
      </c>
      <c r="B10">
        <v>9</v>
      </c>
      <c r="C10">
        <v>164775</v>
      </c>
      <c r="D10">
        <v>176</v>
      </c>
      <c r="E10">
        <v>95450</v>
      </c>
      <c r="F10">
        <v>348425</v>
      </c>
      <c r="G10">
        <v>7.85</v>
      </c>
      <c r="H10">
        <v>9</v>
      </c>
      <c r="I10">
        <v>-252975</v>
      </c>
      <c r="J10">
        <v>-1361.65</v>
      </c>
      <c r="K10">
        <v>13725</v>
      </c>
      <c r="L10">
        <v>4975</v>
      </c>
      <c r="M10" t="s">
        <v>20</v>
      </c>
      <c r="N10">
        <v>25325</v>
      </c>
      <c r="O10" t="s">
        <v>21</v>
      </c>
      <c r="P10">
        <v>23917.73</v>
      </c>
      <c r="Q10">
        <v>23940</v>
      </c>
      <c r="R10">
        <v>23949</v>
      </c>
      <c r="S10">
        <v>23979.9</v>
      </c>
      <c r="T10">
        <v>23940</v>
      </c>
      <c r="U10" s="1">
        <v>45659.413194444445</v>
      </c>
      <c r="V10">
        <v>8.4499999999999993</v>
      </c>
      <c r="W10">
        <v>10670700</v>
      </c>
      <c r="X10">
        <v>180</v>
      </c>
      <c r="Y10">
        <v>345675</v>
      </c>
      <c r="Z10">
        <v>363150</v>
      </c>
      <c r="AA10">
        <v>8.4</v>
      </c>
      <c r="AB10">
        <v>8.4</v>
      </c>
      <c r="AC10">
        <v>-17475</v>
      </c>
      <c r="AD10">
        <v>-80.150000000000006</v>
      </c>
      <c r="AE10">
        <v>44250</v>
      </c>
      <c r="AF10">
        <v>142500</v>
      </c>
      <c r="AG10" t="s">
        <v>22</v>
      </c>
      <c r="AH10">
        <v>-19725</v>
      </c>
      <c r="AI10" t="s">
        <v>20</v>
      </c>
      <c r="AJ10">
        <v>66.599999999999994</v>
      </c>
      <c r="AK10">
        <v>75.05</v>
      </c>
      <c r="AL10">
        <v>86</v>
      </c>
      <c r="AM10">
        <v>66.599999999999994</v>
      </c>
      <c r="AN10">
        <v>69.099999999999994</v>
      </c>
      <c r="AO10" s="1">
        <v>45659.413194444445</v>
      </c>
      <c r="AP10">
        <v>-7.05</v>
      </c>
      <c r="AQ10">
        <v>3458775</v>
      </c>
      <c r="AR10">
        <v>180</v>
      </c>
      <c r="AS10">
        <v>157500</v>
      </c>
      <c r="AT10">
        <v>154650</v>
      </c>
      <c r="AU10">
        <v>-3.75</v>
      </c>
      <c r="AV10">
        <v>-3.75</v>
      </c>
      <c r="AW10">
        <v>2850</v>
      </c>
      <c r="AX10">
        <v>-113.7</v>
      </c>
      <c r="AY10">
        <v>46125</v>
      </c>
      <c r="AZ10">
        <v>181725</v>
      </c>
      <c r="BA10" t="s">
        <v>21</v>
      </c>
      <c r="BB10">
        <v>42675</v>
      </c>
      <c r="BC10" t="s">
        <v>22</v>
      </c>
      <c r="BD10">
        <v>133</v>
      </c>
      <c r="BE10">
        <v>125.95</v>
      </c>
      <c r="BF10">
        <v>133</v>
      </c>
      <c r="BG10">
        <v>107.85</v>
      </c>
      <c r="BH10">
        <v>148.66999999999999</v>
      </c>
      <c r="BI10" s="1">
        <v>45659.413194444445</v>
      </c>
      <c r="BJ10">
        <v>1735791900</v>
      </c>
      <c r="BK10">
        <v>14.47</v>
      </c>
      <c r="BL10">
        <v>14.54</v>
      </c>
      <c r="BM10">
        <v>14.38</v>
      </c>
      <c r="BN10">
        <v>14.46</v>
      </c>
      <c r="BO10">
        <v>0</v>
      </c>
      <c r="BP10" s="2">
        <f t="shared" si="0"/>
        <v>9</v>
      </c>
      <c r="BQ10" s="2">
        <f t="shared" si="1"/>
        <v>9.9999999999997868E-3</v>
      </c>
      <c r="BR10" s="2">
        <f t="shared" si="2"/>
        <v>9.0000000000001918</v>
      </c>
      <c r="BT10" s="2">
        <f t="shared" si="4"/>
        <v>5.6544502617804138E-2</v>
      </c>
      <c r="BU10" s="2">
        <f t="shared" si="3"/>
        <v>-1</v>
      </c>
    </row>
    <row r="11" spans="1:73" hidden="1" x14ac:dyDescent="0.25">
      <c r="A11" s="1">
        <v>45659.416666666664</v>
      </c>
      <c r="B11">
        <v>6</v>
      </c>
      <c r="C11">
        <v>33575</v>
      </c>
      <c r="D11">
        <v>164</v>
      </c>
      <c r="E11">
        <v>47000</v>
      </c>
      <c r="F11">
        <v>38300</v>
      </c>
      <c r="G11">
        <v>2.75</v>
      </c>
      <c r="H11">
        <v>0.95</v>
      </c>
      <c r="I11">
        <v>8700</v>
      </c>
      <c r="J11">
        <v>-1482.95</v>
      </c>
      <c r="K11">
        <v>12900</v>
      </c>
      <c r="L11">
        <v>14600</v>
      </c>
      <c r="M11" t="s">
        <v>20</v>
      </c>
      <c r="N11">
        <v>21175</v>
      </c>
      <c r="O11" t="s">
        <v>20</v>
      </c>
      <c r="P11">
        <v>23918.54</v>
      </c>
      <c r="Q11">
        <v>23949</v>
      </c>
      <c r="R11">
        <v>23955</v>
      </c>
      <c r="S11">
        <v>23955</v>
      </c>
      <c r="T11">
        <v>23940</v>
      </c>
      <c r="U11" s="1">
        <v>45659.416666666664</v>
      </c>
      <c r="V11">
        <v>1.25</v>
      </c>
      <c r="W11">
        <v>3948750</v>
      </c>
      <c r="X11">
        <v>180</v>
      </c>
      <c r="Y11">
        <v>626850</v>
      </c>
      <c r="Z11">
        <v>537675</v>
      </c>
      <c r="AA11">
        <v>-0.65</v>
      </c>
      <c r="AB11">
        <v>-0.7</v>
      </c>
      <c r="AC11">
        <v>89175</v>
      </c>
      <c r="AD11">
        <v>-72.7</v>
      </c>
      <c r="AE11">
        <v>45150</v>
      </c>
      <c r="AF11">
        <v>143850</v>
      </c>
      <c r="AG11" t="s">
        <v>20</v>
      </c>
      <c r="AH11">
        <v>122700</v>
      </c>
      <c r="AI11" t="s">
        <v>21</v>
      </c>
      <c r="AJ11">
        <v>75.8</v>
      </c>
      <c r="AK11">
        <v>77.05</v>
      </c>
      <c r="AL11">
        <v>77.099999999999994</v>
      </c>
      <c r="AM11">
        <v>69.7</v>
      </c>
      <c r="AN11">
        <v>69.38</v>
      </c>
      <c r="AO11" s="1">
        <v>45659.416666666664</v>
      </c>
      <c r="AP11">
        <v>-3.75</v>
      </c>
      <c r="AQ11">
        <v>1228950</v>
      </c>
      <c r="AR11">
        <v>180</v>
      </c>
      <c r="AS11">
        <v>172650</v>
      </c>
      <c r="AT11">
        <v>155700</v>
      </c>
      <c r="AU11">
        <v>-1.25</v>
      </c>
      <c r="AV11">
        <v>-1.2</v>
      </c>
      <c r="AW11">
        <v>16950</v>
      </c>
      <c r="AX11">
        <v>-107.3</v>
      </c>
      <c r="AY11">
        <v>40425</v>
      </c>
      <c r="AZ11">
        <v>36900</v>
      </c>
      <c r="BA11" t="s">
        <v>20</v>
      </c>
      <c r="BB11">
        <v>61800</v>
      </c>
      <c r="BC11" t="s">
        <v>20</v>
      </c>
      <c r="BD11">
        <v>126.35</v>
      </c>
      <c r="BE11">
        <v>122.6</v>
      </c>
      <c r="BF11">
        <v>131.69999999999999</v>
      </c>
      <c r="BG11">
        <v>121.2</v>
      </c>
      <c r="BH11">
        <v>147.19999999999999</v>
      </c>
      <c r="BI11" s="1">
        <v>45659.416666666664</v>
      </c>
      <c r="BJ11">
        <v>1735792200</v>
      </c>
      <c r="BK11">
        <v>14.44</v>
      </c>
      <c r="BL11">
        <v>14.46</v>
      </c>
      <c r="BM11">
        <v>14.4</v>
      </c>
      <c r="BN11">
        <v>14.41</v>
      </c>
      <c r="BO11">
        <v>0</v>
      </c>
      <c r="BP11">
        <f t="shared" si="0"/>
        <v>6</v>
      </c>
      <c r="BQ11">
        <f t="shared" si="1"/>
        <v>2.9999999999999361E-2</v>
      </c>
      <c r="BR11">
        <f t="shared" si="2"/>
        <v>2.0000000000000426</v>
      </c>
      <c r="BT11">
        <f t="shared" si="4"/>
        <v>6.666666666666524E-3</v>
      </c>
      <c r="BU11">
        <f t="shared" si="3"/>
        <v>1</v>
      </c>
    </row>
    <row r="12" spans="1:73" x14ac:dyDescent="0.25">
      <c r="A12" s="1">
        <v>45659.420138888891</v>
      </c>
      <c r="B12">
        <v>2</v>
      </c>
      <c r="C12">
        <v>52950</v>
      </c>
      <c r="D12">
        <v>165</v>
      </c>
      <c r="E12">
        <v>25050</v>
      </c>
      <c r="F12">
        <v>57900</v>
      </c>
      <c r="G12">
        <v>3.8</v>
      </c>
      <c r="H12">
        <v>5.2</v>
      </c>
      <c r="I12">
        <v>-32850</v>
      </c>
      <c r="J12">
        <v>-1210.4000000000001</v>
      </c>
      <c r="K12">
        <v>16425</v>
      </c>
      <c r="L12">
        <v>-3225</v>
      </c>
      <c r="M12" t="s">
        <v>21</v>
      </c>
      <c r="N12">
        <v>925</v>
      </c>
      <c r="O12" t="s">
        <v>22</v>
      </c>
      <c r="P12">
        <v>23920.36</v>
      </c>
      <c r="Q12">
        <v>23955</v>
      </c>
      <c r="R12">
        <v>23957</v>
      </c>
      <c r="S12">
        <v>23970</v>
      </c>
      <c r="T12">
        <v>23954.9</v>
      </c>
      <c r="U12" s="1">
        <v>45659.420138888891</v>
      </c>
      <c r="V12">
        <v>-1.1499999999999999</v>
      </c>
      <c r="W12">
        <v>6014775</v>
      </c>
      <c r="X12">
        <v>180</v>
      </c>
      <c r="Y12">
        <v>474075</v>
      </c>
      <c r="Z12">
        <v>435300</v>
      </c>
      <c r="AA12">
        <v>-0.6</v>
      </c>
      <c r="AB12">
        <v>-0.7</v>
      </c>
      <c r="AC12">
        <v>38775</v>
      </c>
      <c r="AD12">
        <v>-73.849999999999994</v>
      </c>
      <c r="AE12">
        <v>44550</v>
      </c>
      <c r="AF12">
        <v>-138600</v>
      </c>
      <c r="AG12" t="s">
        <v>21</v>
      </c>
      <c r="AH12">
        <v>98550</v>
      </c>
      <c r="AI12" t="s">
        <v>20</v>
      </c>
      <c r="AJ12">
        <v>77.25</v>
      </c>
      <c r="AK12">
        <v>76.099999999999994</v>
      </c>
      <c r="AL12">
        <v>85</v>
      </c>
      <c r="AM12">
        <v>73.75</v>
      </c>
      <c r="AN12">
        <v>70.31</v>
      </c>
      <c r="AO12" s="1">
        <v>45659.420138888891</v>
      </c>
      <c r="AP12">
        <v>-3.15</v>
      </c>
      <c r="AQ12">
        <v>1768275</v>
      </c>
      <c r="AR12">
        <v>180</v>
      </c>
      <c r="AS12">
        <v>169950</v>
      </c>
      <c r="AT12">
        <v>168525</v>
      </c>
      <c r="AU12">
        <v>-3.7</v>
      </c>
      <c r="AV12">
        <v>-3.9</v>
      </c>
      <c r="AW12">
        <v>1425</v>
      </c>
      <c r="AX12">
        <v>-100.05</v>
      </c>
      <c r="AY12">
        <v>41025</v>
      </c>
      <c r="AZ12">
        <v>77550</v>
      </c>
      <c r="BA12" t="s">
        <v>21</v>
      </c>
      <c r="BB12">
        <v>33150</v>
      </c>
      <c r="BC12" t="s">
        <v>20</v>
      </c>
      <c r="BD12">
        <v>122.8</v>
      </c>
      <c r="BE12">
        <v>119.65</v>
      </c>
      <c r="BF12">
        <v>124.95</v>
      </c>
      <c r="BG12">
        <v>113.65</v>
      </c>
      <c r="BH12">
        <v>144.61000000000001</v>
      </c>
      <c r="BI12" s="1">
        <v>45659.420138888891</v>
      </c>
      <c r="BJ12">
        <v>1735792500</v>
      </c>
      <c r="BK12">
        <v>14.42</v>
      </c>
      <c r="BL12">
        <v>14.44</v>
      </c>
      <c r="BM12">
        <v>14.39</v>
      </c>
      <c r="BN12">
        <v>14.41</v>
      </c>
      <c r="BO12">
        <v>0</v>
      </c>
      <c r="BP12">
        <f t="shared" si="0"/>
        <v>2</v>
      </c>
      <c r="BQ12">
        <f t="shared" si="1"/>
        <v>9.9999999999997868E-3</v>
      </c>
      <c r="BR12">
        <f t="shared" si="2"/>
        <v>2.0000000000000426</v>
      </c>
      <c r="BT12">
        <f t="shared" si="4"/>
        <v>9.9999999999997868E-3</v>
      </c>
      <c r="BU12">
        <f t="shared" si="3"/>
        <v>1</v>
      </c>
    </row>
    <row r="13" spans="1:73" hidden="1" x14ac:dyDescent="0.25">
      <c r="A13" s="1">
        <v>45659.423611111109</v>
      </c>
      <c r="B13">
        <v>-16.75</v>
      </c>
      <c r="C13">
        <v>87450</v>
      </c>
      <c r="D13">
        <v>160</v>
      </c>
      <c r="E13">
        <v>54925</v>
      </c>
      <c r="F13">
        <v>57400</v>
      </c>
      <c r="G13">
        <v>-7.95</v>
      </c>
      <c r="H13">
        <v>-10.55</v>
      </c>
      <c r="I13">
        <v>-2475</v>
      </c>
      <c r="J13">
        <v>-1304.25</v>
      </c>
      <c r="K13">
        <v>17350</v>
      </c>
      <c r="L13">
        <v>-2600</v>
      </c>
      <c r="M13" t="s">
        <v>20</v>
      </c>
      <c r="N13">
        <v>38650</v>
      </c>
      <c r="O13" t="s">
        <v>21</v>
      </c>
      <c r="P13">
        <v>23923.13</v>
      </c>
      <c r="Q13">
        <v>23962.75</v>
      </c>
      <c r="R13">
        <v>23946</v>
      </c>
      <c r="S13">
        <v>23987.5</v>
      </c>
      <c r="T13">
        <v>23945.5</v>
      </c>
      <c r="U13" s="1">
        <v>45659.423611111109</v>
      </c>
      <c r="V13">
        <v>-5.0999999999999996</v>
      </c>
      <c r="W13">
        <v>9977625</v>
      </c>
      <c r="X13">
        <v>179</v>
      </c>
      <c r="Y13">
        <v>416250</v>
      </c>
      <c r="Z13">
        <v>552675</v>
      </c>
      <c r="AA13">
        <v>-3.85</v>
      </c>
      <c r="AB13">
        <v>-3.85</v>
      </c>
      <c r="AC13">
        <v>-136425</v>
      </c>
      <c r="AD13">
        <v>-75</v>
      </c>
      <c r="AE13">
        <v>48675</v>
      </c>
      <c r="AF13">
        <v>-71475</v>
      </c>
      <c r="AG13" t="s">
        <v>22</v>
      </c>
      <c r="AH13">
        <v>-213825</v>
      </c>
      <c r="AI13" t="s">
        <v>22</v>
      </c>
      <c r="AJ13">
        <v>76.25</v>
      </c>
      <c r="AK13">
        <v>71.150000000000006</v>
      </c>
      <c r="AL13">
        <v>96.6</v>
      </c>
      <c r="AM13">
        <v>68.349999999999994</v>
      </c>
      <c r="AN13">
        <v>71.78</v>
      </c>
      <c r="AO13" s="1">
        <v>45659.423611111109</v>
      </c>
      <c r="AP13">
        <v>5.95</v>
      </c>
      <c r="AQ13">
        <v>4146450</v>
      </c>
      <c r="AR13">
        <v>179</v>
      </c>
      <c r="AS13">
        <v>187575</v>
      </c>
      <c r="AT13">
        <v>224100</v>
      </c>
      <c r="AU13">
        <v>4.55</v>
      </c>
      <c r="AV13">
        <v>4.7</v>
      </c>
      <c r="AW13">
        <v>-36525</v>
      </c>
      <c r="AX13">
        <v>-91.9</v>
      </c>
      <c r="AY13">
        <v>39150</v>
      </c>
      <c r="AZ13">
        <v>62025</v>
      </c>
      <c r="BA13" t="s">
        <v>20</v>
      </c>
      <c r="BB13">
        <v>48225</v>
      </c>
      <c r="BC13" t="s">
        <v>20</v>
      </c>
      <c r="BD13">
        <v>119.1</v>
      </c>
      <c r="BE13">
        <v>125.05</v>
      </c>
      <c r="BF13">
        <v>126.95</v>
      </c>
      <c r="BG13">
        <v>106</v>
      </c>
      <c r="BH13">
        <v>139.63</v>
      </c>
      <c r="BI13" s="1">
        <v>45659.423611111109</v>
      </c>
      <c r="BJ13">
        <v>1735792800</v>
      </c>
      <c r="BK13">
        <v>14.4</v>
      </c>
      <c r="BL13">
        <v>14.45</v>
      </c>
      <c r="BM13">
        <v>14.39</v>
      </c>
      <c r="BN13">
        <v>14.44</v>
      </c>
      <c r="BO13">
        <v>0</v>
      </c>
      <c r="BP13">
        <f t="shared" si="0"/>
        <v>16.75</v>
      </c>
      <c r="BQ13">
        <f t="shared" si="1"/>
        <v>3.9999999999999147E-2</v>
      </c>
      <c r="BR13">
        <f t="shared" si="2"/>
        <v>4.1875000000000897</v>
      </c>
      <c r="BT13">
        <f t="shared" si="4"/>
        <v>8.3749999999998229E-2</v>
      </c>
      <c r="BU13">
        <f t="shared" si="3"/>
        <v>-1</v>
      </c>
    </row>
    <row r="14" spans="1:73" x14ac:dyDescent="0.25">
      <c r="A14" s="1">
        <v>45659.427083333336</v>
      </c>
      <c r="B14">
        <v>16.8</v>
      </c>
      <c r="C14">
        <v>77450</v>
      </c>
      <c r="D14">
        <v>175</v>
      </c>
      <c r="E14">
        <v>89375</v>
      </c>
      <c r="F14">
        <v>83525</v>
      </c>
      <c r="G14">
        <v>25.05</v>
      </c>
      <c r="H14">
        <v>20.399999999999999</v>
      </c>
      <c r="I14">
        <v>5850</v>
      </c>
      <c r="J14">
        <v>-1173.1500000000001</v>
      </c>
      <c r="K14">
        <v>18750</v>
      </c>
      <c r="L14">
        <v>15200</v>
      </c>
      <c r="M14" t="s">
        <v>20</v>
      </c>
      <c r="N14">
        <v>18825</v>
      </c>
      <c r="O14" t="s">
        <v>20</v>
      </c>
      <c r="P14">
        <v>23925.57</v>
      </c>
      <c r="Q14">
        <v>23954.95</v>
      </c>
      <c r="R14">
        <v>23971.75</v>
      </c>
      <c r="S14">
        <v>23984.15</v>
      </c>
      <c r="T14">
        <v>23946.7</v>
      </c>
      <c r="U14" s="1">
        <v>45659.427083333336</v>
      </c>
      <c r="V14">
        <v>13.1</v>
      </c>
      <c r="W14">
        <v>6162225</v>
      </c>
      <c r="X14">
        <v>181</v>
      </c>
      <c r="Y14">
        <v>373800</v>
      </c>
      <c r="Z14">
        <v>425925</v>
      </c>
      <c r="AA14">
        <v>12.9</v>
      </c>
      <c r="AB14">
        <v>12.9</v>
      </c>
      <c r="AC14">
        <v>-52125</v>
      </c>
      <c r="AD14">
        <v>-77.7</v>
      </c>
      <c r="AE14">
        <v>48075</v>
      </c>
      <c r="AF14">
        <v>-119325</v>
      </c>
      <c r="AG14" t="s">
        <v>21</v>
      </c>
      <c r="AH14">
        <v>99900</v>
      </c>
      <c r="AI14" t="s">
        <v>21</v>
      </c>
      <c r="AJ14">
        <v>71.2</v>
      </c>
      <c r="AK14">
        <v>84.3</v>
      </c>
      <c r="AL14">
        <v>88.3</v>
      </c>
      <c r="AM14">
        <v>71.2</v>
      </c>
      <c r="AN14">
        <v>72.41</v>
      </c>
      <c r="AO14" s="1">
        <v>45659.427083333336</v>
      </c>
      <c r="AP14">
        <v>-15.5</v>
      </c>
      <c r="AQ14">
        <v>2638800</v>
      </c>
      <c r="AR14">
        <v>181</v>
      </c>
      <c r="AS14">
        <v>189900</v>
      </c>
      <c r="AT14">
        <v>194175</v>
      </c>
      <c r="AU14">
        <v>-15.15</v>
      </c>
      <c r="AV14">
        <v>-15.1</v>
      </c>
      <c r="AW14">
        <v>-4275</v>
      </c>
      <c r="AX14">
        <v>-99.9</v>
      </c>
      <c r="AY14">
        <v>45450</v>
      </c>
      <c r="AZ14">
        <v>107175</v>
      </c>
      <c r="BA14" t="s">
        <v>21</v>
      </c>
      <c r="BB14">
        <v>117900</v>
      </c>
      <c r="BC14" t="s">
        <v>22</v>
      </c>
      <c r="BD14">
        <v>124.9</v>
      </c>
      <c r="BE14">
        <v>109.4</v>
      </c>
      <c r="BF14">
        <v>127.5</v>
      </c>
      <c r="BG14">
        <v>107.95</v>
      </c>
      <c r="BH14">
        <v>137.22</v>
      </c>
      <c r="BI14" s="1">
        <v>45659.427083333336</v>
      </c>
      <c r="BJ14">
        <v>1735793100</v>
      </c>
      <c r="BK14">
        <v>14.45</v>
      </c>
      <c r="BL14">
        <v>14.47</v>
      </c>
      <c r="BM14">
        <v>14.39</v>
      </c>
      <c r="BN14">
        <v>14.41</v>
      </c>
      <c r="BO14">
        <v>0</v>
      </c>
      <c r="BP14">
        <f t="shared" si="0"/>
        <v>16.799999999999272</v>
      </c>
      <c r="BQ14">
        <f t="shared" si="1"/>
        <v>3.9999999999999147E-2</v>
      </c>
      <c r="BR14">
        <f t="shared" si="2"/>
        <v>4.1999999999999078</v>
      </c>
      <c r="BT14">
        <f t="shared" si="4"/>
        <v>4.0119402985072029E-2</v>
      </c>
      <c r="BU14">
        <f t="shared" si="3"/>
        <v>-1</v>
      </c>
    </row>
    <row r="15" spans="1:73" s="2" customFormat="1" hidden="1" x14ac:dyDescent="0.25">
      <c r="A15" s="1">
        <v>45659.430555555555</v>
      </c>
      <c r="B15">
        <v>16.25</v>
      </c>
      <c r="C15">
        <v>154150</v>
      </c>
      <c r="D15">
        <v>174</v>
      </c>
      <c r="E15">
        <v>190700</v>
      </c>
      <c r="F15">
        <v>125625</v>
      </c>
      <c r="G15">
        <v>14.9</v>
      </c>
      <c r="H15">
        <v>17.149999999999999</v>
      </c>
      <c r="I15">
        <v>65075</v>
      </c>
      <c r="J15">
        <v>-761.2</v>
      </c>
      <c r="K15">
        <v>19075</v>
      </c>
      <c r="L15">
        <v>-18525</v>
      </c>
      <c r="M15" t="s">
        <v>21</v>
      </c>
      <c r="N15">
        <v>245375</v>
      </c>
      <c r="O15" t="s">
        <v>21</v>
      </c>
      <c r="P15">
        <v>23931.47</v>
      </c>
      <c r="Q15">
        <v>23974.85</v>
      </c>
      <c r="R15">
        <v>23991.1</v>
      </c>
      <c r="S15">
        <v>24000</v>
      </c>
      <c r="T15">
        <v>23968.1</v>
      </c>
      <c r="U15" s="1">
        <v>45659.430555555555</v>
      </c>
      <c r="V15">
        <v>7.25</v>
      </c>
      <c r="W15">
        <v>8121450</v>
      </c>
      <c r="X15">
        <v>179</v>
      </c>
      <c r="Y15">
        <v>344250</v>
      </c>
      <c r="Z15">
        <v>358050</v>
      </c>
      <c r="AA15">
        <v>7.45</v>
      </c>
      <c r="AB15">
        <v>7.35</v>
      </c>
      <c r="AC15">
        <v>-13800</v>
      </c>
      <c r="AD15">
        <v>-78.150000000000006</v>
      </c>
      <c r="AE15">
        <v>45450</v>
      </c>
      <c r="AF15">
        <v>62400</v>
      </c>
      <c r="AG15" t="s">
        <v>22</v>
      </c>
      <c r="AH15">
        <v>-105525</v>
      </c>
      <c r="AI15" t="s">
        <v>22</v>
      </c>
      <c r="AJ15">
        <v>84.5</v>
      </c>
      <c r="AK15">
        <v>91.75</v>
      </c>
      <c r="AL15">
        <v>96.35</v>
      </c>
      <c r="AM15">
        <v>78.400000000000006</v>
      </c>
      <c r="AN15">
        <v>73.69</v>
      </c>
      <c r="AO15" s="1">
        <v>45659.430555555555</v>
      </c>
      <c r="AP15">
        <v>-9.0500000000000007</v>
      </c>
      <c r="AQ15">
        <v>3902775</v>
      </c>
      <c r="AR15">
        <v>179</v>
      </c>
      <c r="AS15">
        <v>192900</v>
      </c>
      <c r="AT15">
        <v>215550</v>
      </c>
      <c r="AU15">
        <v>-8.3000000000000007</v>
      </c>
      <c r="AV15">
        <v>-8.3000000000000007</v>
      </c>
      <c r="AW15">
        <v>-22650</v>
      </c>
      <c r="AX15">
        <v>-89.1</v>
      </c>
      <c r="AY15">
        <v>46425</v>
      </c>
      <c r="AZ15">
        <v>-105150</v>
      </c>
      <c r="BA15" t="s">
        <v>22</v>
      </c>
      <c r="BB15">
        <v>78300</v>
      </c>
      <c r="BC15" t="s">
        <v>20</v>
      </c>
      <c r="BD15">
        <v>110.15</v>
      </c>
      <c r="BE15">
        <v>101.1</v>
      </c>
      <c r="BF15">
        <v>114.7</v>
      </c>
      <c r="BG15">
        <v>96.55</v>
      </c>
      <c r="BH15">
        <v>133.16</v>
      </c>
      <c r="BI15" s="1">
        <v>45659.430555555555</v>
      </c>
      <c r="BJ15">
        <v>1735793400</v>
      </c>
      <c r="BK15">
        <v>14.39</v>
      </c>
      <c r="BL15">
        <v>14.43</v>
      </c>
      <c r="BM15">
        <v>14.34</v>
      </c>
      <c r="BN15">
        <v>14.36</v>
      </c>
      <c r="BO15">
        <v>0</v>
      </c>
      <c r="BP15" s="2">
        <f t="shared" si="0"/>
        <v>16.25</v>
      </c>
      <c r="BQ15" s="2">
        <f t="shared" si="1"/>
        <v>3.0000000000001137E-2</v>
      </c>
      <c r="BR15" s="2">
        <f t="shared" si="2"/>
        <v>5.4166666666664618</v>
      </c>
      <c r="BT15">
        <f t="shared" si="4"/>
        <v>3.8690476190477038E-2</v>
      </c>
      <c r="BU15" s="2">
        <f t="shared" si="3"/>
        <v>-1</v>
      </c>
    </row>
    <row r="16" spans="1:73" s="2" customFormat="1" hidden="1" x14ac:dyDescent="0.25">
      <c r="A16" s="1">
        <v>45659.434027777781</v>
      </c>
      <c r="B16">
        <v>-5.5</v>
      </c>
      <c r="C16">
        <v>46025</v>
      </c>
      <c r="D16">
        <v>169</v>
      </c>
      <c r="E16">
        <v>72025</v>
      </c>
      <c r="F16">
        <v>116850</v>
      </c>
      <c r="G16">
        <v>-2.5</v>
      </c>
      <c r="H16">
        <v>-5.0999999999999996</v>
      </c>
      <c r="I16">
        <v>-44825</v>
      </c>
      <c r="J16">
        <v>-789.6</v>
      </c>
      <c r="K16">
        <v>18875</v>
      </c>
      <c r="L16">
        <v>-12275</v>
      </c>
      <c r="M16" t="s">
        <v>20</v>
      </c>
      <c r="N16">
        <v>21850</v>
      </c>
      <c r="O16" t="s">
        <v>20</v>
      </c>
      <c r="P16">
        <v>23933.02</v>
      </c>
      <c r="Q16">
        <v>23995</v>
      </c>
      <c r="R16">
        <v>23989.5</v>
      </c>
      <c r="S16">
        <v>23995</v>
      </c>
      <c r="T16">
        <v>23980</v>
      </c>
      <c r="U16" s="1">
        <v>45659.434027777781</v>
      </c>
      <c r="V16">
        <v>-1.4</v>
      </c>
      <c r="W16">
        <v>5468475</v>
      </c>
      <c r="X16">
        <v>176</v>
      </c>
      <c r="Y16">
        <v>372225</v>
      </c>
      <c r="Z16">
        <v>332475</v>
      </c>
      <c r="AA16">
        <v>-1.2</v>
      </c>
      <c r="AB16">
        <v>-1.25</v>
      </c>
      <c r="AC16">
        <v>39750</v>
      </c>
      <c r="AD16">
        <v>-72.25</v>
      </c>
      <c r="AE16">
        <v>47475</v>
      </c>
      <c r="AF16">
        <v>70575</v>
      </c>
      <c r="AG16" t="s">
        <v>20</v>
      </c>
      <c r="AH16">
        <v>164775</v>
      </c>
      <c r="AI16" t="s">
        <v>21</v>
      </c>
      <c r="AJ16">
        <v>93.7</v>
      </c>
      <c r="AK16">
        <v>92.3</v>
      </c>
      <c r="AL16">
        <v>94.45</v>
      </c>
      <c r="AM16">
        <v>84.9</v>
      </c>
      <c r="AN16">
        <v>74.569999999999993</v>
      </c>
      <c r="AO16" s="1">
        <v>45659.434027777781</v>
      </c>
      <c r="AP16">
        <v>0.75</v>
      </c>
      <c r="AQ16">
        <v>2840475</v>
      </c>
      <c r="AR16">
        <v>176</v>
      </c>
      <c r="AS16">
        <v>204825</v>
      </c>
      <c r="AT16">
        <v>248700</v>
      </c>
      <c r="AU16">
        <v>0.6</v>
      </c>
      <c r="AV16">
        <v>0.7</v>
      </c>
      <c r="AW16">
        <v>-43875</v>
      </c>
      <c r="AX16">
        <v>-78.05</v>
      </c>
      <c r="AY16">
        <v>40875</v>
      </c>
      <c r="AZ16">
        <v>138150</v>
      </c>
      <c r="BA16" t="s">
        <v>21</v>
      </c>
      <c r="BB16">
        <v>116625</v>
      </c>
      <c r="BC16" t="s">
        <v>22</v>
      </c>
      <c r="BD16">
        <v>99.75</v>
      </c>
      <c r="BE16">
        <v>100.5</v>
      </c>
      <c r="BF16">
        <v>105.6</v>
      </c>
      <c r="BG16">
        <v>98.15</v>
      </c>
      <c r="BH16">
        <v>130.55000000000001</v>
      </c>
      <c r="BI16" s="1">
        <v>45659.434027777781</v>
      </c>
      <c r="BJ16">
        <v>1735793700</v>
      </c>
      <c r="BK16">
        <v>14.39</v>
      </c>
      <c r="BL16">
        <v>14.4</v>
      </c>
      <c r="BM16">
        <v>14.29</v>
      </c>
      <c r="BN16">
        <v>14.35</v>
      </c>
      <c r="BO16">
        <v>0</v>
      </c>
      <c r="BP16" s="2">
        <f t="shared" si="0"/>
        <v>5.5</v>
      </c>
      <c r="BQ16" s="2">
        <f t="shared" si="1"/>
        <v>4.0000000000000924E-2</v>
      </c>
      <c r="BR16" s="2">
        <f t="shared" si="2"/>
        <v>1.3749999999999682</v>
      </c>
      <c r="BT16">
        <f t="shared" si="4"/>
        <v>1.0153846153846537E-2</v>
      </c>
      <c r="BU16" s="2">
        <f t="shared" si="3"/>
        <v>1</v>
      </c>
    </row>
    <row r="17" spans="1:73" x14ac:dyDescent="0.25">
      <c r="A17" s="1">
        <v>45659.4375</v>
      </c>
      <c r="B17">
        <v>-9.4499999999999993</v>
      </c>
      <c r="C17">
        <v>31100</v>
      </c>
      <c r="D17">
        <v>151</v>
      </c>
      <c r="E17">
        <v>125825</v>
      </c>
      <c r="F17">
        <v>59925</v>
      </c>
      <c r="G17">
        <v>-9.4499999999999993</v>
      </c>
      <c r="H17">
        <v>-6.75</v>
      </c>
      <c r="I17">
        <v>65900</v>
      </c>
      <c r="J17">
        <v>-771.5</v>
      </c>
      <c r="K17">
        <v>13425</v>
      </c>
      <c r="L17">
        <v>-1275</v>
      </c>
      <c r="M17" t="s">
        <v>20</v>
      </c>
      <c r="N17">
        <v>14350</v>
      </c>
      <c r="O17" t="s">
        <v>20</v>
      </c>
      <c r="P17">
        <v>23933.93</v>
      </c>
      <c r="Q17">
        <v>23989.5</v>
      </c>
      <c r="R17">
        <v>23980.05</v>
      </c>
      <c r="S17">
        <v>23990</v>
      </c>
      <c r="T17">
        <v>23980</v>
      </c>
      <c r="U17" s="1">
        <v>45659.4375</v>
      </c>
      <c r="V17">
        <v>-2.65</v>
      </c>
      <c r="W17">
        <v>5337975</v>
      </c>
      <c r="X17">
        <v>180</v>
      </c>
      <c r="Y17">
        <v>349125</v>
      </c>
      <c r="Z17">
        <v>369825</v>
      </c>
      <c r="AA17">
        <v>-2.7</v>
      </c>
      <c r="AB17">
        <v>-2.8</v>
      </c>
      <c r="AC17">
        <v>-20700</v>
      </c>
      <c r="AD17">
        <v>-71.45</v>
      </c>
      <c r="AE17">
        <v>49650</v>
      </c>
      <c r="AF17">
        <v>-60150</v>
      </c>
      <c r="AG17" t="s">
        <v>21</v>
      </c>
      <c r="AH17">
        <v>116925</v>
      </c>
      <c r="AI17" t="s">
        <v>20</v>
      </c>
      <c r="AJ17">
        <v>91.6</v>
      </c>
      <c r="AK17">
        <v>88.95</v>
      </c>
      <c r="AL17">
        <v>93.95</v>
      </c>
      <c r="AM17">
        <v>85.95</v>
      </c>
      <c r="AN17">
        <v>75.39</v>
      </c>
      <c r="AO17" s="1">
        <v>45659.4375</v>
      </c>
      <c r="AP17">
        <v>7.4</v>
      </c>
      <c r="AQ17">
        <v>3236175</v>
      </c>
      <c r="AR17">
        <v>180</v>
      </c>
      <c r="AS17">
        <v>271650</v>
      </c>
      <c r="AT17">
        <v>309450</v>
      </c>
      <c r="AU17">
        <v>7.4</v>
      </c>
      <c r="AV17">
        <v>7.3</v>
      </c>
      <c r="AW17">
        <v>-37800</v>
      </c>
      <c r="AX17">
        <v>-82.9</v>
      </c>
      <c r="AY17">
        <v>42300</v>
      </c>
      <c r="AZ17">
        <v>143775</v>
      </c>
      <c r="BA17" t="s">
        <v>20</v>
      </c>
      <c r="BB17">
        <v>-38925</v>
      </c>
      <c r="BC17" t="s">
        <v>21</v>
      </c>
      <c r="BD17">
        <v>101.1</v>
      </c>
      <c r="BE17">
        <v>108.5</v>
      </c>
      <c r="BF17">
        <v>108.7</v>
      </c>
      <c r="BG17">
        <v>99.8</v>
      </c>
      <c r="BH17">
        <v>128.28</v>
      </c>
      <c r="BI17" s="1">
        <v>45659.4375</v>
      </c>
      <c r="BJ17">
        <v>1735794000</v>
      </c>
      <c r="BK17">
        <v>14.34</v>
      </c>
      <c r="BL17">
        <v>14.35</v>
      </c>
      <c r="BM17">
        <v>14.3</v>
      </c>
      <c r="BN17">
        <v>14.34</v>
      </c>
      <c r="BO17">
        <v>0</v>
      </c>
      <c r="BP17">
        <f t="shared" si="0"/>
        <v>9.4500000000007276</v>
      </c>
      <c r="BQ17">
        <f t="shared" si="1"/>
        <v>0</v>
      </c>
      <c r="BR17" t="e">
        <f>(0.01*BP17)/BQ17</f>
        <v>#DIV/0!</v>
      </c>
      <c r="BT17">
        <f t="shared" si="4"/>
        <v>6.8727272727279604E-2</v>
      </c>
      <c r="BU17">
        <f t="shared" si="3"/>
        <v>-1</v>
      </c>
    </row>
    <row r="18" spans="1:73" hidden="1" x14ac:dyDescent="0.25">
      <c r="A18" s="1">
        <v>45659.440972222219</v>
      </c>
      <c r="B18">
        <v>5.95</v>
      </c>
      <c r="C18">
        <v>82200</v>
      </c>
      <c r="D18">
        <v>161</v>
      </c>
      <c r="E18">
        <v>64450</v>
      </c>
      <c r="F18">
        <v>45025</v>
      </c>
      <c r="G18">
        <v>-0.05</v>
      </c>
      <c r="H18">
        <v>2.4</v>
      </c>
      <c r="I18">
        <v>19425</v>
      </c>
      <c r="J18">
        <v>-860.9</v>
      </c>
      <c r="K18">
        <v>14875</v>
      </c>
      <c r="L18">
        <v>-275</v>
      </c>
      <c r="M18" t="s">
        <v>20</v>
      </c>
      <c r="N18">
        <v>-14050</v>
      </c>
      <c r="O18" t="s">
        <v>22</v>
      </c>
      <c r="P18">
        <v>23936.49</v>
      </c>
      <c r="Q18">
        <v>23980.05</v>
      </c>
      <c r="R18">
        <v>23986</v>
      </c>
      <c r="S18">
        <v>24007</v>
      </c>
      <c r="T18">
        <v>23964.400000000001</v>
      </c>
      <c r="U18" s="1">
        <v>45659.440972222219</v>
      </c>
      <c r="V18">
        <v>-0.1</v>
      </c>
      <c r="W18">
        <v>8708175</v>
      </c>
      <c r="X18">
        <v>180</v>
      </c>
      <c r="Y18">
        <v>462300</v>
      </c>
      <c r="Z18">
        <v>406425</v>
      </c>
      <c r="AA18">
        <v>0.8</v>
      </c>
      <c r="AB18">
        <v>0.75</v>
      </c>
      <c r="AC18">
        <v>55875</v>
      </c>
      <c r="AD18">
        <v>-75.75</v>
      </c>
      <c r="AE18">
        <v>51300</v>
      </c>
      <c r="AF18">
        <v>-182025</v>
      </c>
      <c r="AG18" t="s">
        <v>21</v>
      </c>
      <c r="AH18">
        <v>-267450</v>
      </c>
      <c r="AI18" t="s">
        <v>22</v>
      </c>
      <c r="AJ18">
        <v>89.1</v>
      </c>
      <c r="AK18">
        <v>89</v>
      </c>
      <c r="AL18">
        <v>105</v>
      </c>
      <c r="AM18">
        <v>78.099999999999994</v>
      </c>
      <c r="AN18">
        <v>76.48</v>
      </c>
      <c r="AO18" s="1">
        <v>45659.440972222219</v>
      </c>
      <c r="AP18">
        <v>-0.55000000000000004</v>
      </c>
      <c r="AQ18">
        <v>6441150</v>
      </c>
      <c r="AR18">
        <v>180</v>
      </c>
      <c r="AS18">
        <v>242925</v>
      </c>
      <c r="AT18">
        <v>352725</v>
      </c>
      <c r="AU18">
        <v>-1.25</v>
      </c>
      <c r="AV18">
        <v>-1.25</v>
      </c>
      <c r="AW18">
        <v>-109800</v>
      </c>
      <c r="AX18">
        <v>-90.35</v>
      </c>
      <c r="AY18">
        <v>45000</v>
      </c>
      <c r="AZ18">
        <v>-160800</v>
      </c>
      <c r="BA18" t="s">
        <v>22</v>
      </c>
      <c r="BB18">
        <v>-59475</v>
      </c>
      <c r="BC18" t="s">
        <v>21</v>
      </c>
      <c r="BD18">
        <v>108.1</v>
      </c>
      <c r="BE18">
        <v>107.55</v>
      </c>
      <c r="BF18">
        <v>116.05</v>
      </c>
      <c r="BG18">
        <v>93</v>
      </c>
      <c r="BH18">
        <v>125.11</v>
      </c>
      <c r="BI18" s="1">
        <v>45659.440972222219</v>
      </c>
      <c r="BJ18">
        <v>1735794300</v>
      </c>
      <c r="BK18">
        <v>14.34</v>
      </c>
      <c r="BL18">
        <v>14.39</v>
      </c>
      <c r="BM18">
        <v>14.29</v>
      </c>
      <c r="BN18">
        <v>14.33</v>
      </c>
      <c r="BO18">
        <v>0</v>
      </c>
      <c r="BP18">
        <f t="shared" si="0"/>
        <v>5.9500000000007276</v>
      </c>
      <c r="BQ18">
        <f t="shared" si="1"/>
        <v>9.9999999999997868E-3</v>
      </c>
      <c r="BR18">
        <f t="shared" ref="BR18:BR76" si="5">(0.01*BP18)/BQ18</f>
        <v>5.9500000000008546</v>
      </c>
      <c r="BT18" t="e">
        <f t="shared" si="4"/>
        <v>#DIV/0!</v>
      </c>
      <c r="BU18" t="e">
        <f t="shared" si="3"/>
        <v>#DIV/0!</v>
      </c>
    </row>
    <row r="19" spans="1:73" hidden="1" x14ac:dyDescent="0.25">
      <c r="A19" s="1">
        <v>45659.444444444445</v>
      </c>
      <c r="B19">
        <v>11.05</v>
      </c>
      <c r="C19">
        <v>86450</v>
      </c>
      <c r="D19">
        <v>164</v>
      </c>
      <c r="E19">
        <v>95050</v>
      </c>
      <c r="F19">
        <v>55675</v>
      </c>
      <c r="G19">
        <v>14.65</v>
      </c>
      <c r="H19">
        <v>16</v>
      </c>
      <c r="I19">
        <v>39375</v>
      </c>
      <c r="J19">
        <v>-998.35</v>
      </c>
      <c r="K19">
        <v>17850</v>
      </c>
      <c r="L19">
        <v>2050</v>
      </c>
      <c r="M19" t="s">
        <v>20</v>
      </c>
      <c r="N19">
        <v>44875</v>
      </c>
      <c r="O19" t="s">
        <v>21</v>
      </c>
      <c r="P19">
        <v>23939.27</v>
      </c>
      <c r="Q19">
        <v>23985</v>
      </c>
      <c r="R19">
        <v>23996.05</v>
      </c>
      <c r="S19">
        <v>24002</v>
      </c>
      <c r="T19">
        <v>23981.75</v>
      </c>
      <c r="U19" s="1">
        <v>45659.444444444445</v>
      </c>
      <c r="V19">
        <v>4.7</v>
      </c>
      <c r="W19">
        <v>5564625</v>
      </c>
      <c r="X19">
        <v>180</v>
      </c>
      <c r="Y19">
        <v>373875</v>
      </c>
      <c r="Z19">
        <v>334275</v>
      </c>
      <c r="AA19">
        <v>5.15</v>
      </c>
      <c r="AB19">
        <v>5.15</v>
      </c>
      <c r="AC19">
        <v>39600</v>
      </c>
      <c r="AD19">
        <v>-79.55</v>
      </c>
      <c r="AE19">
        <v>48300</v>
      </c>
      <c r="AF19">
        <v>76125</v>
      </c>
      <c r="AG19" t="s">
        <v>22</v>
      </c>
      <c r="AH19">
        <v>69825</v>
      </c>
      <c r="AI19" t="s">
        <v>21</v>
      </c>
      <c r="AJ19">
        <v>90</v>
      </c>
      <c r="AK19">
        <v>94.7</v>
      </c>
      <c r="AL19">
        <v>98.15</v>
      </c>
      <c r="AM19">
        <v>89.05</v>
      </c>
      <c r="AN19">
        <v>77.319999999999993</v>
      </c>
      <c r="AO19" s="1">
        <v>45659.444444444445</v>
      </c>
      <c r="AP19">
        <v>-8.3000000000000007</v>
      </c>
      <c r="AQ19">
        <v>3539025</v>
      </c>
      <c r="AR19">
        <v>180</v>
      </c>
      <c r="AS19">
        <v>209175</v>
      </c>
      <c r="AT19">
        <v>288450</v>
      </c>
      <c r="AU19">
        <v>-8.4499999999999993</v>
      </c>
      <c r="AV19">
        <v>-8.5</v>
      </c>
      <c r="AW19">
        <v>-79275</v>
      </c>
      <c r="AX19">
        <v>-81.900000000000006</v>
      </c>
      <c r="AY19">
        <v>45150</v>
      </c>
      <c r="AZ19">
        <v>210300</v>
      </c>
      <c r="BA19" t="s">
        <v>21</v>
      </c>
      <c r="BB19">
        <v>155925</v>
      </c>
      <c r="BC19" t="s">
        <v>22</v>
      </c>
      <c r="BD19">
        <v>106.15</v>
      </c>
      <c r="BE19">
        <v>97.85</v>
      </c>
      <c r="BF19">
        <v>107.5</v>
      </c>
      <c r="BG19">
        <v>96.35</v>
      </c>
      <c r="BH19">
        <v>123.25</v>
      </c>
      <c r="BI19" s="1">
        <v>45659.444444444445</v>
      </c>
      <c r="BJ19">
        <v>1735794600</v>
      </c>
      <c r="BK19">
        <v>14.34</v>
      </c>
      <c r="BL19">
        <v>14.37</v>
      </c>
      <c r="BM19">
        <v>14.3</v>
      </c>
      <c r="BN19">
        <v>14.36</v>
      </c>
      <c r="BO19">
        <v>0</v>
      </c>
      <c r="BP19">
        <f t="shared" si="0"/>
        <v>11.049999999999272</v>
      </c>
      <c r="BQ19">
        <f t="shared" si="1"/>
        <v>1.9999999999999574E-2</v>
      </c>
      <c r="BR19">
        <f t="shared" si="5"/>
        <v>5.5249999999997543</v>
      </c>
      <c r="BT19">
        <f t="shared" si="4"/>
        <v>1.8571428571424683E-2</v>
      </c>
      <c r="BU19">
        <f t="shared" si="3"/>
        <v>1</v>
      </c>
    </row>
    <row r="20" spans="1:73" x14ac:dyDescent="0.25">
      <c r="A20" s="1">
        <v>45659.447916666664</v>
      </c>
      <c r="B20">
        <v>21.15</v>
      </c>
      <c r="C20">
        <v>170225</v>
      </c>
      <c r="D20">
        <v>168</v>
      </c>
      <c r="E20">
        <v>54100</v>
      </c>
      <c r="F20">
        <v>112275</v>
      </c>
      <c r="G20">
        <v>24.35</v>
      </c>
      <c r="H20">
        <v>23</v>
      </c>
      <c r="I20">
        <v>-58175</v>
      </c>
      <c r="J20">
        <v>-836.3</v>
      </c>
      <c r="K20">
        <v>18325</v>
      </c>
      <c r="L20">
        <v>-2150</v>
      </c>
      <c r="M20" t="s">
        <v>21</v>
      </c>
      <c r="N20">
        <v>-75175</v>
      </c>
      <c r="O20" t="s">
        <v>22</v>
      </c>
      <c r="P20">
        <v>23945.38</v>
      </c>
      <c r="Q20">
        <v>24000</v>
      </c>
      <c r="R20">
        <v>24021.15</v>
      </c>
      <c r="S20">
        <v>24030</v>
      </c>
      <c r="T20">
        <v>23992.35</v>
      </c>
      <c r="U20" s="1">
        <v>45659.447916666664</v>
      </c>
      <c r="V20">
        <v>18.55</v>
      </c>
      <c r="W20">
        <v>10147500</v>
      </c>
      <c r="X20">
        <v>180</v>
      </c>
      <c r="Y20">
        <v>315825</v>
      </c>
      <c r="Z20">
        <v>255900</v>
      </c>
      <c r="AA20">
        <v>18.399999999999999</v>
      </c>
      <c r="AB20">
        <v>18.45</v>
      </c>
      <c r="AC20">
        <v>59925</v>
      </c>
      <c r="AD20">
        <v>-88.35</v>
      </c>
      <c r="AE20">
        <v>48900</v>
      </c>
      <c r="AF20">
        <v>171825</v>
      </c>
      <c r="AG20" t="s">
        <v>22</v>
      </c>
      <c r="AH20">
        <v>-385050</v>
      </c>
      <c r="AI20" t="s">
        <v>22</v>
      </c>
      <c r="AJ20">
        <v>95.05</v>
      </c>
      <c r="AK20">
        <v>113.6</v>
      </c>
      <c r="AL20">
        <v>119.2</v>
      </c>
      <c r="AM20">
        <v>91.4</v>
      </c>
      <c r="AN20">
        <v>79.459999999999994</v>
      </c>
      <c r="AO20" s="1">
        <v>45659.447916666664</v>
      </c>
      <c r="AP20">
        <v>-11.1</v>
      </c>
      <c r="AQ20">
        <v>7006500</v>
      </c>
      <c r="AR20">
        <v>180</v>
      </c>
      <c r="AS20">
        <v>302550</v>
      </c>
      <c r="AT20">
        <v>277650</v>
      </c>
      <c r="AU20">
        <v>-11.35</v>
      </c>
      <c r="AV20">
        <v>-11.3</v>
      </c>
      <c r="AW20">
        <v>24900</v>
      </c>
      <c r="AX20">
        <v>-84.35</v>
      </c>
      <c r="AY20">
        <v>48300</v>
      </c>
      <c r="AZ20">
        <v>298875</v>
      </c>
      <c r="BA20" t="s">
        <v>21</v>
      </c>
      <c r="BB20">
        <v>215025</v>
      </c>
      <c r="BC20" t="s">
        <v>22</v>
      </c>
      <c r="BD20">
        <v>96.9</v>
      </c>
      <c r="BE20">
        <v>85.8</v>
      </c>
      <c r="BF20">
        <v>101.45</v>
      </c>
      <c r="BG20">
        <v>81.3</v>
      </c>
      <c r="BH20">
        <v>119.06</v>
      </c>
      <c r="BI20" s="1">
        <v>45659.447916666664</v>
      </c>
      <c r="BJ20">
        <v>1735794900</v>
      </c>
      <c r="BK20">
        <v>14.35</v>
      </c>
      <c r="BL20">
        <v>14.38</v>
      </c>
      <c r="BM20">
        <v>14.27</v>
      </c>
      <c r="BN20">
        <v>14.31</v>
      </c>
      <c r="BO20">
        <v>0</v>
      </c>
      <c r="BP20">
        <f t="shared" si="0"/>
        <v>21.150000000001455</v>
      </c>
      <c r="BQ20">
        <f t="shared" si="1"/>
        <v>3.9999999999999147E-2</v>
      </c>
      <c r="BR20">
        <f t="shared" si="5"/>
        <v>5.2875000000004766</v>
      </c>
      <c r="BT20">
        <f t="shared" si="4"/>
        <v>3.8280542986429675E-2</v>
      </c>
      <c r="BU20">
        <f t="shared" si="3"/>
        <v>1</v>
      </c>
    </row>
    <row r="21" spans="1:73" s="2" customFormat="1" hidden="1" x14ac:dyDescent="0.25">
      <c r="A21" s="1">
        <v>45659.451388888891</v>
      </c>
      <c r="B21">
        <v>3.65</v>
      </c>
      <c r="C21">
        <v>95925</v>
      </c>
      <c r="D21">
        <v>177</v>
      </c>
      <c r="E21">
        <v>50625</v>
      </c>
      <c r="F21">
        <v>67750</v>
      </c>
      <c r="G21">
        <v>3.35</v>
      </c>
      <c r="H21">
        <v>2.8</v>
      </c>
      <c r="I21">
        <v>-17125</v>
      </c>
      <c r="J21">
        <v>-907.4</v>
      </c>
      <c r="K21">
        <v>20325</v>
      </c>
      <c r="L21">
        <v>1675</v>
      </c>
      <c r="M21" t="s">
        <v>20</v>
      </c>
      <c r="N21">
        <v>27975</v>
      </c>
      <c r="O21" t="s">
        <v>21</v>
      </c>
      <c r="P21">
        <v>23949.06</v>
      </c>
      <c r="Q21">
        <v>24022.1</v>
      </c>
      <c r="R21">
        <v>24025.75</v>
      </c>
      <c r="S21">
        <v>24040.75</v>
      </c>
      <c r="T21">
        <v>24018</v>
      </c>
      <c r="U21" s="1">
        <v>45659.451388888891</v>
      </c>
      <c r="V21">
        <v>-0.05</v>
      </c>
      <c r="W21">
        <v>7667925</v>
      </c>
      <c r="X21">
        <v>180</v>
      </c>
      <c r="Y21">
        <v>204150</v>
      </c>
      <c r="Z21">
        <v>176475</v>
      </c>
      <c r="AA21">
        <v>0.75</v>
      </c>
      <c r="AB21">
        <v>0.8</v>
      </c>
      <c r="AC21">
        <v>27675</v>
      </c>
      <c r="AD21">
        <v>-105.1</v>
      </c>
      <c r="AE21">
        <v>38625</v>
      </c>
      <c r="AF21">
        <v>-129450</v>
      </c>
      <c r="AG21" t="s">
        <v>21</v>
      </c>
      <c r="AH21">
        <v>147075</v>
      </c>
      <c r="AI21" t="s">
        <v>21</v>
      </c>
      <c r="AJ21">
        <v>115.25</v>
      </c>
      <c r="AK21">
        <v>115.2</v>
      </c>
      <c r="AL21">
        <v>124.8</v>
      </c>
      <c r="AM21">
        <v>110.05</v>
      </c>
      <c r="AN21">
        <v>81.599999999999994</v>
      </c>
      <c r="AO21" s="1">
        <v>45659.451388888891</v>
      </c>
      <c r="AP21">
        <v>-4.5999999999999996</v>
      </c>
      <c r="AQ21">
        <v>7091475</v>
      </c>
      <c r="AR21">
        <v>180</v>
      </c>
      <c r="AS21">
        <v>421725</v>
      </c>
      <c r="AT21">
        <v>256725</v>
      </c>
      <c r="AU21">
        <v>-4.8</v>
      </c>
      <c r="AV21">
        <v>-4.8</v>
      </c>
      <c r="AW21">
        <v>165000</v>
      </c>
      <c r="AX21">
        <v>-75.25</v>
      </c>
      <c r="AY21">
        <v>46350</v>
      </c>
      <c r="AZ21">
        <v>148050</v>
      </c>
      <c r="BA21" t="s">
        <v>20</v>
      </c>
      <c r="BB21">
        <v>141225</v>
      </c>
      <c r="BC21" t="s">
        <v>20</v>
      </c>
      <c r="BD21">
        <v>85.05</v>
      </c>
      <c r="BE21">
        <v>80.45</v>
      </c>
      <c r="BF21">
        <v>86.55</v>
      </c>
      <c r="BG21">
        <v>76.8</v>
      </c>
      <c r="BH21">
        <v>114.66</v>
      </c>
      <c r="BI21" s="1">
        <v>45659.451388888891</v>
      </c>
      <c r="BJ21">
        <v>1735795200</v>
      </c>
      <c r="BK21">
        <v>14.32</v>
      </c>
      <c r="BL21">
        <v>14.39</v>
      </c>
      <c r="BM21">
        <v>14.29</v>
      </c>
      <c r="BN21">
        <v>14.38</v>
      </c>
      <c r="BO21">
        <v>0</v>
      </c>
      <c r="BP21" s="2">
        <f t="shared" si="0"/>
        <v>3.6500000000014552</v>
      </c>
      <c r="BQ21" s="2">
        <f t="shared" si="1"/>
        <v>6.0000000000000497E-2</v>
      </c>
      <c r="BR21" s="2">
        <f t="shared" si="5"/>
        <v>0.60833333333357087</v>
      </c>
      <c r="BT21">
        <f t="shared" si="4"/>
        <v>6.9030732860541387E-3</v>
      </c>
      <c r="BU21" s="2">
        <f t="shared" si="3"/>
        <v>1</v>
      </c>
    </row>
    <row r="22" spans="1:73" s="2" customFormat="1" hidden="1" x14ac:dyDescent="0.25">
      <c r="A22" s="1">
        <v>45659.454861111109</v>
      </c>
      <c r="B22">
        <v>18.25</v>
      </c>
      <c r="C22">
        <v>109525</v>
      </c>
      <c r="D22">
        <v>176</v>
      </c>
      <c r="E22">
        <v>50525</v>
      </c>
      <c r="F22">
        <v>118275</v>
      </c>
      <c r="G22">
        <v>14.85</v>
      </c>
      <c r="H22">
        <v>16.55</v>
      </c>
      <c r="I22">
        <v>-67750</v>
      </c>
      <c r="J22">
        <v>-748.5</v>
      </c>
      <c r="K22">
        <v>18900</v>
      </c>
      <c r="L22">
        <v>5525</v>
      </c>
      <c r="M22" t="s">
        <v>20</v>
      </c>
      <c r="N22">
        <v>4675</v>
      </c>
      <c r="O22" t="s">
        <v>20</v>
      </c>
      <c r="P22">
        <v>23953.040000000001</v>
      </c>
      <c r="Q22">
        <v>24025.75</v>
      </c>
      <c r="R22">
        <v>24044</v>
      </c>
      <c r="S22">
        <v>24046.3</v>
      </c>
      <c r="T22">
        <v>24016.15</v>
      </c>
      <c r="U22" s="1">
        <v>45659.454861111109</v>
      </c>
      <c r="V22">
        <v>0.55000000000000004</v>
      </c>
      <c r="W22">
        <v>6224775</v>
      </c>
      <c r="X22">
        <v>180</v>
      </c>
      <c r="Y22">
        <v>217650</v>
      </c>
      <c r="Z22">
        <v>193950</v>
      </c>
      <c r="AA22">
        <v>-0.45</v>
      </c>
      <c r="AB22">
        <v>-0.4</v>
      </c>
      <c r="AC22">
        <v>23700</v>
      </c>
      <c r="AD22">
        <v>-95.55</v>
      </c>
      <c r="AE22">
        <v>42600</v>
      </c>
      <c r="AF22">
        <v>-86475</v>
      </c>
      <c r="AG22" t="s">
        <v>22</v>
      </c>
      <c r="AH22">
        <v>40275</v>
      </c>
      <c r="AI22" t="s">
        <v>20</v>
      </c>
      <c r="AJ22">
        <v>115.8</v>
      </c>
      <c r="AK22">
        <v>116.35</v>
      </c>
      <c r="AL22">
        <v>120.55</v>
      </c>
      <c r="AM22">
        <v>106.3</v>
      </c>
      <c r="AN22">
        <v>83.08</v>
      </c>
      <c r="AO22" s="1">
        <v>45659.454861111109</v>
      </c>
      <c r="AP22">
        <v>-11.15</v>
      </c>
      <c r="AQ22">
        <v>8631525</v>
      </c>
      <c r="AR22">
        <v>180</v>
      </c>
      <c r="AS22">
        <v>414375</v>
      </c>
      <c r="AT22">
        <v>368850</v>
      </c>
      <c r="AU22">
        <v>-11.2</v>
      </c>
      <c r="AV22">
        <v>-11.2</v>
      </c>
      <c r="AW22">
        <v>45525</v>
      </c>
      <c r="AX22">
        <v>-70.75</v>
      </c>
      <c r="AY22">
        <v>47550</v>
      </c>
      <c r="AZ22">
        <v>355650</v>
      </c>
      <c r="BA22" t="s">
        <v>21</v>
      </c>
      <c r="BB22">
        <v>117150</v>
      </c>
      <c r="BC22" t="s">
        <v>20</v>
      </c>
      <c r="BD22">
        <v>80</v>
      </c>
      <c r="BE22">
        <v>68.849999999999994</v>
      </c>
      <c r="BF22">
        <v>83.45</v>
      </c>
      <c r="BG22">
        <v>65.7</v>
      </c>
      <c r="BH22">
        <v>109.56</v>
      </c>
      <c r="BI22" s="1">
        <v>45659.454861111109</v>
      </c>
      <c r="BJ22">
        <v>1735795500</v>
      </c>
      <c r="BK22">
        <v>14.37</v>
      </c>
      <c r="BL22">
        <v>14.39</v>
      </c>
      <c r="BM22">
        <v>14.25</v>
      </c>
      <c r="BN22">
        <v>14.28</v>
      </c>
      <c r="BO22">
        <v>0</v>
      </c>
      <c r="BP22" s="2">
        <f t="shared" si="0"/>
        <v>18.25</v>
      </c>
      <c r="BQ22" s="2">
        <f t="shared" si="1"/>
        <v>8.9999999999999858E-2</v>
      </c>
      <c r="BR22" s="2">
        <f t="shared" si="5"/>
        <v>2.0277777777777808</v>
      </c>
      <c r="BT22">
        <f t="shared" si="4"/>
        <v>0.29999999999988286</v>
      </c>
      <c r="BU22" s="2">
        <f t="shared" si="3"/>
        <v>-1</v>
      </c>
    </row>
    <row r="23" spans="1:73" hidden="1" x14ac:dyDescent="0.25">
      <c r="A23" s="1">
        <v>45659.458333333336</v>
      </c>
      <c r="B23">
        <v>0.7</v>
      </c>
      <c r="C23">
        <v>87000</v>
      </c>
      <c r="D23">
        <v>179</v>
      </c>
      <c r="E23">
        <v>38925</v>
      </c>
      <c r="F23">
        <v>180150</v>
      </c>
      <c r="G23">
        <v>-1.2</v>
      </c>
      <c r="H23">
        <v>-2</v>
      </c>
      <c r="I23">
        <v>-141225</v>
      </c>
      <c r="J23">
        <v>-592.70000000000005</v>
      </c>
      <c r="K23">
        <v>16525</v>
      </c>
      <c r="L23">
        <v>-625</v>
      </c>
      <c r="M23" t="s">
        <v>21</v>
      </c>
      <c r="N23">
        <v>23800</v>
      </c>
      <c r="O23" t="s">
        <v>20</v>
      </c>
      <c r="P23">
        <v>23956.31</v>
      </c>
      <c r="Q23">
        <v>24042</v>
      </c>
      <c r="R23">
        <v>24042.7</v>
      </c>
      <c r="S23">
        <v>24049</v>
      </c>
      <c r="T23">
        <v>24035.15</v>
      </c>
      <c r="U23" s="1">
        <v>45659.458333333336</v>
      </c>
      <c r="V23">
        <v>5.2</v>
      </c>
      <c r="W23">
        <v>4385925</v>
      </c>
      <c r="X23">
        <v>180</v>
      </c>
      <c r="Y23">
        <v>292350</v>
      </c>
      <c r="Z23">
        <v>251175</v>
      </c>
      <c r="AA23">
        <v>3.1</v>
      </c>
      <c r="AB23">
        <v>3.2</v>
      </c>
      <c r="AC23">
        <v>41175</v>
      </c>
      <c r="AD23">
        <v>-101.3</v>
      </c>
      <c r="AE23">
        <v>40650</v>
      </c>
      <c r="AF23">
        <v>98625</v>
      </c>
      <c r="AG23" t="s">
        <v>22</v>
      </c>
      <c r="AH23">
        <v>-22200</v>
      </c>
      <c r="AI23" t="s">
        <v>22</v>
      </c>
      <c r="AJ23">
        <v>117.45</v>
      </c>
      <c r="AK23">
        <v>122.65</v>
      </c>
      <c r="AL23">
        <v>122.95</v>
      </c>
      <c r="AM23">
        <v>112.05</v>
      </c>
      <c r="AN23">
        <v>84.15</v>
      </c>
      <c r="AO23" s="1">
        <v>45659.458333333336</v>
      </c>
      <c r="AP23">
        <v>4.7</v>
      </c>
      <c r="AQ23">
        <v>5016975</v>
      </c>
      <c r="AR23">
        <v>180</v>
      </c>
      <c r="AS23">
        <v>441225</v>
      </c>
      <c r="AT23">
        <v>506925</v>
      </c>
      <c r="AU23">
        <v>5.45</v>
      </c>
      <c r="AV23">
        <v>5.45</v>
      </c>
      <c r="AW23">
        <v>-65700</v>
      </c>
      <c r="AX23">
        <v>-67.75</v>
      </c>
      <c r="AY23">
        <v>57075</v>
      </c>
      <c r="AZ23">
        <v>242025</v>
      </c>
      <c r="BA23" t="s">
        <v>20</v>
      </c>
      <c r="BB23">
        <v>129000</v>
      </c>
      <c r="BC23" t="s">
        <v>20</v>
      </c>
      <c r="BD23">
        <v>67.75</v>
      </c>
      <c r="BE23">
        <v>72.45</v>
      </c>
      <c r="BF23">
        <v>74.75</v>
      </c>
      <c r="BG23">
        <v>66.599999999999994</v>
      </c>
      <c r="BH23">
        <v>106.96</v>
      </c>
      <c r="BI23" s="1">
        <v>45659.458333333336</v>
      </c>
      <c r="BJ23">
        <v>1735795800</v>
      </c>
      <c r="BK23">
        <v>14.27</v>
      </c>
      <c r="BL23">
        <v>14.33</v>
      </c>
      <c r="BM23">
        <v>14.24</v>
      </c>
      <c r="BN23">
        <v>14.27</v>
      </c>
      <c r="BO23">
        <v>0</v>
      </c>
      <c r="BP23">
        <f t="shared" si="0"/>
        <v>0.7000000000007276</v>
      </c>
      <c r="BQ23">
        <f t="shared" si="1"/>
        <v>0</v>
      </c>
      <c r="BR23" t="e">
        <f t="shared" si="5"/>
        <v>#DIV/0!</v>
      </c>
      <c r="BT23">
        <f t="shared" si="4"/>
        <v>3.4520547945241309E-3</v>
      </c>
      <c r="BU23">
        <f t="shared" si="3"/>
        <v>-1</v>
      </c>
    </row>
    <row r="24" spans="1:73" s="2" customFormat="1" hidden="1" x14ac:dyDescent="0.25">
      <c r="A24" s="1">
        <v>45659.461805555555</v>
      </c>
      <c r="B24">
        <v>14.7</v>
      </c>
      <c r="C24">
        <v>120675</v>
      </c>
      <c r="D24">
        <v>177</v>
      </c>
      <c r="E24">
        <v>30550</v>
      </c>
      <c r="F24">
        <v>59300</v>
      </c>
      <c r="G24">
        <v>14.9</v>
      </c>
      <c r="H24">
        <v>15.45</v>
      </c>
      <c r="I24">
        <v>-28750</v>
      </c>
      <c r="J24">
        <v>-832.8</v>
      </c>
      <c r="K24">
        <v>13725</v>
      </c>
      <c r="L24">
        <v>5500</v>
      </c>
      <c r="M24" t="s">
        <v>20</v>
      </c>
      <c r="N24">
        <v>-27050</v>
      </c>
      <c r="O24" t="s">
        <v>22</v>
      </c>
      <c r="P24">
        <v>23960.76</v>
      </c>
      <c r="Q24">
        <v>24043</v>
      </c>
      <c r="R24">
        <v>24057.7</v>
      </c>
      <c r="S24">
        <v>24068.2</v>
      </c>
      <c r="T24">
        <v>24027.75</v>
      </c>
      <c r="U24" s="1">
        <v>45659.461805555555</v>
      </c>
      <c r="V24">
        <v>7.95</v>
      </c>
      <c r="W24">
        <v>5667075</v>
      </c>
      <c r="X24">
        <v>180</v>
      </c>
      <c r="Y24">
        <v>304725</v>
      </c>
      <c r="Z24">
        <v>220575</v>
      </c>
      <c r="AA24">
        <v>5.8</v>
      </c>
      <c r="AB24">
        <v>5.65</v>
      </c>
      <c r="AC24">
        <v>84150</v>
      </c>
      <c r="AD24">
        <v>-108</v>
      </c>
      <c r="AE24">
        <v>41775</v>
      </c>
      <c r="AF24">
        <v>-74850</v>
      </c>
      <c r="AG24" t="s">
        <v>21</v>
      </c>
      <c r="AH24">
        <v>-160425</v>
      </c>
      <c r="AI24" t="s">
        <v>22</v>
      </c>
      <c r="AJ24">
        <v>123.1</v>
      </c>
      <c r="AK24">
        <v>131.05000000000001</v>
      </c>
      <c r="AL24">
        <v>139.75</v>
      </c>
      <c r="AM24">
        <v>115.35</v>
      </c>
      <c r="AN24">
        <v>85.7</v>
      </c>
      <c r="AO24" s="1">
        <v>45659.461805555555</v>
      </c>
      <c r="AP24">
        <v>-5.7</v>
      </c>
      <c r="AQ24">
        <v>7770750</v>
      </c>
      <c r="AR24">
        <v>180</v>
      </c>
      <c r="AS24">
        <v>397050</v>
      </c>
      <c r="AT24">
        <v>406725</v>
      </c>
      <c r="AU24">
        <v>-5</v>
      </c>
      <c r="AV24">
        <v>-5.05</v>
      </c>
      <c r="AW24">
        <v>-9675</v>
      </c>
      <c r="AX24">
        <v>-72.5</v>
      </c>
      <c r="AY24">
        <v>45075</v>
      </c>
      <c r="AZ24">
        <v>-22950</v>
      </c>
      <c r="BA24" t="s">
        <v>22</v>
      </c>
      <c r="BB24">
        <v>17700</v>
      </c>
      <c r="BC24" t="s">
        <v>20</v>
      </c>
      <c r="BD24">
        <v>72.349999999999994</v>
      </c>
      <c r="BE24">
        <v>66.650000000000006</v>
      </c>
      <c r="BF24">
        <v>80.650000000000006</v>
      </c>
      <c r="BG24">
        <v>62.15</v>
      </c>
      <c r="BH24">
        <v>103.73</v>
      </c>
      <c r="BI24" s="1">
        <v>45659.461805555555</v>
      </c>
      <c r="BJ24">
        <v>1735796100</v>
      </c>
      <c r="BK24">
        <v>14.26</v>
      </c>
      <c r="BL24">
        <v>14.3</v>
      </c>
      <c r="BM24">
        <v>14.22</v>
      </c>
      <c r="BN24">
        <v>14.24</v>
      </c>
      <c r="BO24">
        <v>0</v>
      </c>
      <c r="BP24" s="2">
        <f t="shared" si="0"/>
        <v>14.700000000000728</v>
      </c>
      <c r="BQ24" s="2">
        <f t="shared" si="1"/>
        <v>1.9999999999999574E-2</v>
      </c>
      <c r="BR24" s="2">
        <f t="shared" si="5"/>
        <v>7.350000000000521</v>
      </c>
      <c r="BT24" t="e">
        <f t="shared" si="4"/>
        <v>#DIV/0!</v>
      </c>
      <c r="BU24" s="2" t="e">
        <f t="shared" si="3"/>
        <v>#DIV/0!</v>
      </c>
    </row>
    <row r="25" spans="1:73" hidden="1" x14ac:dyDescent="0.25">
      <c r="A25" s="1">
        <v>45659.465277777781</v>
      </c>
      <c r="B25">
        <v>-5.2</v>
      </c>
      <c r="C25">
        <v>81050</v>
      </c>
      <c r="D25">
        <v>173</v>
      </c>
      <c r="E25">
        <v>131975</v>
      </c>
      <c r="F25">
        <v>70675</v>
      </c>
      <c r="G25">
        <v>-2.9</v>
      </c>
      <c r="H25">
        <v>-5.35</v>
      </c>
      <c r="I25">
        <v>61300</v>
      </c>
      <c r="J25">
        <v>-707.65</v>
      </c>
      <c r="K25">
        <v>21375</v>
      </c>
      <c r="L25">
        <v>-5725</v>
      </c>
      <c r="M25" t="s">
        <v>21</v>
      </c>
      <c r="N25">
        <v>41700</v>
      </c>
      <c r="O25" t="s">
        <v>21</v>
      </c>
      <c r="P25">
        <v>23963.81</v>
      </c>
      <c r="Q25">
        <v>24059.9</v>
      </c>
      <c r="R25">
        <v>24054.7</v>
      </c>
      <c r="S25">
        <v>24066</v>
      </c>
      <c r="T25">
        <v>24046.45</v>
      </c>
      <c r="U25" s="1">
        <v>45659.465277777781</v>
      </c>
      <c r="V25">
        <v>-10.85</v>
      </c>
      <c r="W25">
        <v>3453225</v>
      </c>
      <c r="X25">
        <v>179</v>
      </c>
      <c r="Y25">
        <v>224175</v>
      </c>
      <c r="Z25">
        <v>192450</v>
      </c>
      <c r="AA25">
        <v>-11.05</v>
      </c>
      <c r="AB25">
        <v>-11.05</v>
      </c>
      <c r="AC25">
        <v>31725</v>
      </c>
      <c r="AD25">
        <v>-104.25</v>
      </c>
      <c r="AE25">
        <v>42600</v>
      </c>
      <c r="AF25">
        <v>-208800</v>
      </c>
      <c r="AG25" t="s">
        <v>21</v>
      </c>
      <c r="AH25">
        <v>162825</v>
      </c>
      <c r="AI25" t="s">
        <v>21</v>
      </c>
      <c r="AJ25">
        <v>132.55000000000001</v>
      </c>
      <c r="AK25">
        <v>121.7</v>
      </c>
      <c r="AL25">
        <v>133.85</v>
      </c>
      <c r="AM25">
        <v>121</v>
      </c>
      <c r="AN25">
        <v>86.66</v>
      </c>
      <c r="AO25" s="1">
        <v>45659.465277777781</v>
      </c>
      <c r="AP25">
        <v>-0.6</v>
      </c>
      <c r="AQ25">
        <v>5300175</v>
      </c>
      <c r="AR25">
        <v>179</v>
      </c>
      <c r="AS25">
        <v>384450</v>
      </c>
      <c r="AT25">
        <v>417825</v>
      </c>
      <c r="AU25">
        <v>-1.3</v>
      </c>
      <c r="AV25">
        <v>-1.3</v>
      </c>
      <c r="AW25">
        <v>-33375</v>
      </c>
      <c r="AX25">
        <v>-66.400000000000006</v>
      </c>
      <c r="AY25">
        <v>45900</v>
      </c>
      <c r="AZ25">
        <v>150975</v>
      </c>
      <c r="BA25" t="s">
        <v>21</v>
      </c>
      <c r="BB25">
        <v>128850</v>
      </c>
      <c r="BC25" t="s">
        <v>22</v>
      </c>
      <c r="BD25">
        <v>65.849999999999994</v>
      </c>
      <c r="BE25">
        <v>65.25</v>
      </c>
      <c r="BF25">
        <v>67.099999999999994</v>
      </c>
      <c r="BG25">
        <v>60.85</v>
      </c>
      <c r="BH25">
        <v>101.35</v>
      </c>
      <c r="BI25" s="1">
        <v>45659.465277777781</v>
      </c>
      <c r="BJ25">
        <v>1735796400</v>
      </c>
      <c r="BK25">
        <v>14.25</v>
      </c>
      <c r="BL25">
        <v>14.3</v>
      </c>
      <c r="BM25">
        <v>14.24</v>
      </c>
      <c r="BN25">
        <v>14.26</v>
      </c>
      <c r="BO25">
        <v>0</v>
      </c>
      <c r="BP25">
        <f t="shared" si="0"/>
        <v>5.2000000000007276</v>
      </c>
      <c r="BQ25">
        <f t="shared" si="1"/>
        <v>9.9999999999997868E-3</v>
      </c>
      <c r="BR25">
        <f t="shared" si="5"/>
        <v>5.2000000000008386</v>
      </c>
      <c r="BT25">
        <f t="shared" si="4"/>
        <v>7.0748299319732776E-3</v>
      </c>
      <c r="BU25">
        <f t="shared" si="3"/>
        <v>1</v>
      </c>
    </row>
    <row r="26" spans="1:73" hidden="1" x14ac:dyDescent="0.25">
      <c r="A26" s="1">
        <v>45659.46875</v>
      </c>
      <c r="B26">
        <v>-10.7</v>
      </c>
      <c r="C26">
        <v>55425</v>
      </c>
      <c r="D26">
        <v>171</v>
      </c>
      <c r="E26">
        <v>67475</v>
      </c>
      <c r="F26">
        <v>73425</v>
      </c>
      <c r="G26">
        <v>-9.6999999999999993</v>
      </c>
      <c r="H26">
        <v>-8</v>
      </c>
      <c r="I26">
        <v>-5950</v>
      </c>
      <c r="J26">
        <v>-770.05</v>
      </c>
      <c r="K26">
        <v>19025</v>
      </c>
      <c r="L26">
        <v>7350</v>
      </c>
      <c r="M26" t="s">
        <v>20</v>
      </c>
      <c r="N26">
        <v>4625</v>
      </c>
      <c r="O26" t="s">
        <v>20</v>
      </c>
      <c r="P26">
        <v>23965.67</v>
      </c>
      <c r="Q26">
        <v>24054.7</v>
      </c>
      <c r="R26">
        <v>24044</v>
      </c>
      <c r="S26">
        <v>24065</v>
      </c>
      <c r="T26">
        <v>24042</v>
      </c>
      <c r="U26" s="1">
        <v>45659.46875</v>
      </c>
      <c r="V26">
        <v>0.05</v>
      </c>
      <c r="W26">
        <v>3108975</v>
      </c>
      <c r="X26">
        <v>180</v>
      </c>
      <c r="Y26">
        <v>337050</v>
      </c>
      <c r="Z26">
        <v>190725</v>
      </c>
      <c r="AA26">
        <v>0.4</v>
      </c>
      <c r="AB26">
        <v>0.3</v>
      </c>
      <c r="AC26">
        <v>146325</v>
      </c>
      <c r="AD26">
        <v>-109.65</v>
      </c>
      <c r="AE26">
        <v>44025</v>
      </c>
      <c r="AF26">
        <v>66675</v>
      </c>
      <c r="AG26" t="s">
        <v>22</v>
      </c>
      <c r="AH26">
        <v>61350</v>
      </c>
      <c r="AI26" t="s">
        <v>20</v>
      </c>
      <c r="AJ26">
        <v>121.95</v>
      </c>
      <c r="AK26">
        <v>122</v>
      </c>
      <c r="AL26">
        <v>133.5</v>
      </c>
      <c r="AM26">
        <v>119.1</v>
      </c>
      <c r="AN26">
        <v>87.42</v>
      </c>
      <c r="AO26" s="1">
        <v>45659.46875</v>
      </c>
      <c r="AP26">
        <v>1.05</v>
      </c>
      <c r="AQ26">
        <v>5997075</v>
      </c>
      <c r="AR26">
        <v>180</v>
      </c>
      <c r="AS26">
        <v>526350</v>
      </c>
      <c r="AT26">
        <v>423900</v>
      </c>
      <c r="AU26">
        <v>1.1499999999999999</v>
      </c>
      <c r="AV26">
        <v>1.2</v>
      </c>
      <c r="AW26">
        <v>102450</v>
      </c>
      <c r="AX26">
        <v>-67</v>
      </c>
      <c r="AY26">
        <v>47850</v>
      </c>
      <c r="AZ26">
        <v>837825</v>
      </c>
      <c r="BA26" t="s">
        <v>21</v>
      </c>
      <c r="BB26">
        <v>66300</v>
      </c>
      <c r="BC26" t="s">
        <v>20</v>
      </c>
      <c r="BD26">
        <v>65.25</v>
      </c>
      <c r="BE26">
        <v>66.3</v>
      </c>
      <c r="BF26">
        <v>68.849999999999994</v>
      </c>
      <c r="BG26">
        <v>58.1</v>
      </c>
      <c r="BH26">
        <v>99.03</v>
      </c>
      <c r="BI26" s="1">
        <v>45659.46875</v>
      </c>
      <c r="BJ26">
        <v>1735796700</v>
      </c>
      <c r="BK26">
        <v>14.25</v>
      </c>
      <c r="BL26">
        <v>14.3</v>
      </c>
      <c r="BM26">
        <v>14.25</v>
      </c>
      <c r="BN26">
        <v>14.27</v>
      </c>
      <c r="BO26">
        <v>0</v>
      </c>
      <c r="BP26">
        <f t="shared" si="0"/>
        <v>10.700000000000728</v>
      </c>
      <c r="BQ26">
        <f t="shared" si="1"/>
        <v>1.9999999999999574E-2</v>
      </c>
      <c r="BR26">
        <f t="shared" si="5"/>
        <v>5.3500000000004784</v>
      </c>
      <c r="BT26">
        <f t="shared" si="4"/>
        <v>2.0576923076921157E-2</v>
      </c>
      <c r="BU26">
        <f t="shared" si="3"/>
        <v>-1</v>
      </c>
    </row>
    <row r="27" spans="1:73" s="2" customFormat="1" hidden="1" x14ac:dyDescent="0.25">
      <c r="A27" s="1">
        <v>45659.472222222219</v>
      </c>
      <c r="B27">
        <v>13.7</v>
      </c>
      <c r="C27">
        <v>67100</v>
      </c>
      <c r="D27">
        <v>168</v>
      </c>
      <c r="E27">
        <v>24525</v>
      </c>
      <c r="F27">
        <v>47375</v>
      </c>
      <c r="G27">
        <v>12.7</v>
      </c>
      <c r="H27">
        <v>11</v>
      </c>
      <c r="I27">
        <v>-22850</v>
      </c>
      <c r="J27">
        <v>-808.9</v>
      </c>
      <c r="K27">
        <v>12650</v>
      </c>
      <c r="L27">
        <v>9475</v>
      </c>
      <c r="M27" t="s">
        <v>20</v>
      </c>
      <c r="N27">
        <v>2425</v>
      </c>
      <c r="O27" t="s">
        <v>22</v>
      </c>
      <c r="P27">
        <v>23967.67</v>
      </c>
      <c r="Q27">
        <v>24043.3</v>
      </c>
      <c r="R27">
        <v>24057</v>
      </c>
      <c r="S27">
        <v>24058.799999999999</v>
      </c>
      <c r="T27">
        <v>24031</v>
      </c>
      <c r="U27" s="1">
        <v>45659.472222222219</v>
      </c>
      <c r="V27">
        <v>2.4</v>
      </c>
      <c r="W27">
        <v>3992775</v>
      </c>
      <c r="X27">
        <v>180</v>
      </c>
      <c r="Y27">
        <v>223125</v>
      </c>
      <c r="Z27">
        <v>195150</v>
      </c>
      <c r="AA27">
        <v>2.2000000000000002</v>
      </c>
      <c r="AB27">
        <v>2.2999999999999998</v>
      </c>
      <c r="AC27">
        <v>27975</v>
      </c>
      <c r="AD27">
        <v>-111.4</v>
      </c>
      <c r="AE27">
        <v>44025</v>
      </c>
      <c r="AF27">
        <v>-239850</v>
      </c>
      <c r="AG27" t="s">
        <v>21</v>
      </c>
      <c r="AH27">
        <v>38025</v>
      </c>
      <c r="AI27" t="s">
        <v>20</v>
      </c>
      <c r="AJ27">
        <v>121.45</v>
      </c>
      <c r="AK27">
        <v>123.85</v>
      </c>
      <c r="AL27">
        <v>125.9</v>
      </c>
      <c r="AM27">
        <v>112</v>
      </c>
      <c r="AN27">
        <v>88.22</v>
      </c>
      <c r="AO27" s="1">
        <v>45659.472222222219</v>
      </c>
      <c r="AP27">
        <v>-6.3</v>
      </c>
      <c r="AQ27">
        <v>6234600</v>
      </c>
      <c r="AR27">
        <v>180</v>
      </c>
      <c r="AS27">
        <v>622500</v>
      </c>
      <c r="AT27">
        <v>501750</v>
      </c>
      <c r="AU27">
        <v>-5.75</v>
      </c>
      <c r="AV27">
        <v>-5.75</v>
      </c>
      <c r="AW27">
        <v>120750</v>
      </c>
      <c r="AX27">
        <v>-69.8</v>
      </c>
      <c r="AY27">
        <v>51375</v>
      </c>
      <c r="AZ27">
        <v>757650</v>
      </c>
      <c r="BA27" t="s">
        <v>20</v>
      </c>
      <c r="BB27">
        <v>106275</v>
      </c>
      <c r="BC27" t="s">
        <v>22</v>
      </c>
      <c r="BD27">
        <v>66.95</v>
      </c>
      <c r="BE27">
        <v>60.65</v>
      </c>
      <c r="BF27">
        <v>71.75</v>
      </c>
      <c r="BG27">
        <v>59.65</v>
      </c>
      <c r="BH27">
        <v>96.91</v>
      </c>
      <c r="BI27" s="1">
        <v>45659.472222222219</v>
      </c>
      <c r="BJ27">
        <v>1735797000</v>
      </c>
      <c r="BK27">
        <v>14.28</v>
      </c>
      <c r="BL27">
        <v>14.3</v>
      </c>
      <c r="BM27">
        <v>14.25</v>
      </c>
      <c r="BN27">
        <v>14.29</v>
      </c>
      <c r="BO27">
        <v>0</v>
      </c>
      <c r="BP27" s="2">
        <f t="shared" si="0"/>
        <v>13.700000000000728</v>
      </c>
      <c r="BQ27" s="2">
        <f t="shared" si="1"/>
        <v>9.9999999999997868E-3</v>
      </c>
      <c r="BR27" s="2">
        <f t="shared" si="5"/>
        <v>13.700000000001021</v>
      </c>
      <c r="BT27">
        <f t="shared" si="4"/>
        <v>2.5607476635513091E-2</v>
      </c>
      <c r="BU27" s="2">
        <f t="shared" si="3"/>
        <v>-1</v>
      </c>
    </row>
    <row r="28" spans="1:73" hidden="1" x14ac:dyDescent="0.25">
      <c r="A28" s="1">
        <v>45659.475694444445</v>
      </c>
      <c r="B28">
        <v>17.350000000000001</v>
      </c>
      <c r="C28">
        <v>83450</v>
      </c>
      <c r="D28">
        <v>172</v>
      </c>
      <c r="E28">
        <v>44875</v>
      </c>
      <c r="F28">
        <v>130275</v>
      </c>
      <c r="G28">
        <v>18.3</v>
      </c>
      <c r="H28">
        <v>17.899999999999999</v>
      </c>
      <c r="I28">
        <v>-85400</v>
      </c>
      <c r="J28">
        <v>-788.25</v>
      </c>
      <c r="K28">
        <v>19975</v>
      </c>
      <c r="L28">
        <v>1500</v>
      </c>
      <c r="M28" t="s">
        <v>21</v>
      </c>
      <c r="N28">
        <v>-16175</v>
      </c>
      <c r="O28" t="s">
        <v>22</v>
      </c>
      <c r="P28">
        <v>23970.63</v>
      </c>
      <c r="Q28">
        <v>24057</v>
      </c>
      <c r="R28">
        <v>24074.35</v>
      </c>
      <c r="S28">
        <v>24075.25</v>
      </c>
      <c r="T28">
        <v>24056.25</v>
      </c>
      <c r="U28" s="1">
        <v>45659.475694444445</v>
      </c>
      <c r="V28">
        <v>9.6999999999999993</v>
      </c>
      <c r="W28">
        <v>2963850</v>
      </c>
      <c r="X28">
        <v>176</v>
      </c>
      <c r="Y28">
        <v>181050</v>
      </c>
      <c r="Z28">
        <v>231375</v>
      </c>
      <c r="AA28">
        <v>10.25</v>
      </c>
      <c r="AB28">
        <v>10.35</v>
      </c>
      <c r="AC28">
        <v>-50325</v>
      </c>
      <c r="AD28">
        <v>-108.65</v>
      </c>
      <c r="AE28">
        <v>41775</v>
      </c>
      <c r="AF28">
        <v>187275</v>
      </c>
      <c r="AG28" t="s">
        <v>22</v>
      </c>
      <c r="AH28">
        <v>-99075</v>
      </c>
      <c r="AI28" t="s">
        <v>22</v>
      </c>
      <c r="AJ28">
        <v>123.3</v>
      </c>
      <c r="AK28">
        <v>133</v>
      </c>
      <c r="AL28">
        <v>135.1</v>
      </c>
      <c r="AM28">
        <v>123.3</v>
      </c>
      <c r="AN28">
        <v>88.96</v>
      </c>
      <c r="AO28" s="1">
        <v>45659.475694444445</v>
      </c>
      <c r="AP28">
        <v>-6.65</v>
      </c>
      <c r="AQ28">
        <v>5017800</v>
      </c>
      <c r="AR28">
        <v>180</v>
      </c>
      <c r="AS28">
        <v>535950</v>
      </c>
      <c r="AT28">
        <v>618900</v>
      </c>
      <c r="AU28">
        <v>-7</v>
      </c>
      <c r="AV28">
        <v>-7.05</v>
      </c>
      <c r="AW28">
        <v>-82950</v>
      </c>
      <c r="AX28">
        <v>-57.65</v>
      </c>
      <c r="AY28">
        <v>59100</v>
      </c>
      <c r="AZ28">
        <v>-200925</v>
      </c>
      <c r="BA28" t="s">
        <v>22</v>
      </c>
      <c r="BB28">
        <v>51225</v>
      </c>
      <c r="BC28" t="s">
        <v>20</v>
      </c>
      <c r="BD28">
        <v>61.2</v>
      </c>
      <c r="BE28">
        <v>54.55</v>
      </c>
      <c r="BF28">
        <v>61.2</v>
      </c>
      <c r="BG28">
        <v>53.45</v>
      </c>
      <c r="BH28">
        <v>95.01</v>
      </c>
      <c r="BI28" s="1">
        <v>45659.475694444445</v>
      </c>
      <c r="BJ28">
        <v>1735797300</v>
      </c>
      <c r="BK28">
        <v>14.29</v>
      </c>
      <c r="BL28">
        <v>14.37</v>
      </c>
      <c r="BM28">
        <v>14.29</v>
      </c>
      <c r="BN28">
        <v>14.33</v>
      </c>
      <c r="BO28">
        <v>0</v>
      </c>
      <c r="BP28">
        <f t="shared" si="0"/>
        <v>17.349999999998545</v>
      </c>
      <c r="BQ28">
        <f t="shared" si="1"/>
        <v>4.0000000000000924E-2</v>
      </c>
      <c r="BR28">
        <f t="shared" si="5"/>
        <v>4.3374999999995358</v>
      </c>
      <c r="BT28">
        <f t="shared" si="4"/>
        <v>1.266423357664033E-2</v>
      </c>
      <c r="BU28">
        <f t="shared" si="3"/>
        <v>1</v>
      </c>
    </row>
    <row r="29" spans="1:73" s="2" customFormat="1" hidden="1" x14ac:dyDescent="0.25">
      <c r="A29" s="1">
        <v>45659.479166666664</v>
      </c>
      <c r="B29">
        <v>-3.25</v>
      </c>
      <c r="C29">
        <v>71925</v>
      </c>
      <c r="D29">
        <v>152</v>
      </c>
      <c r="E29">
        <v>33025</v>
      </c>
      <c r="F29">
        <v>71050</v>
      </c>
      <c r="G29">
        <v>-4.5999999999999996</v>
      </c>
      <c r="H29">
        <v>-4.3</v>
      </c>
      <c r="I29">
        <v>-38025</v>
      </c>
      <c r="J29">
        <v>-681.3</v>
      </c>
      <c r="K29">
        <v>17425</v>
      </c>
      <c r="L29">
        <v>5000</v>
      </c>
      <c r="M29" t="s">
        <v>20</v>
      </c>
      <c r="N29">
        <v>13825</v>
      </c>
      <c r="O29" t="s">
        <v>21</v>
      </c>
      <c r="P29">
        <v>23973.15</v>
      </c>
      <c r="Q29">
        <v>24071.15</v>
      </c>
      <c r="R29">
        <v>24067.9</v>
      </c>
      <c r="S29">
        <v>24078.799999999999</v>
      </c>
      <c r="T29">
        <v>24062.5</v>
      </c>
      <c r="U29" s="1">
        <v>45659.479166666664</v>
      </c>
      <c r="V29">
        <v>-5.65</v>
      </c>
      <c r="W29">
        <v>2378325</v>
      </c>
      <c r="X29">
        <v>159</v>
      </c>
      <c r="Y29">
        <v>206025</v>
      </c>
      <c r="Z29">
        <v>223875</v>
      </c>
      <c r="AA29">
        <v>-5.6</v>
      </c>
      <c r="AB29">
        <v>-5.45</v>
      </c>
      <c r="AC29">
        <v>-17850</v>
      </c>
      <c r="AD29">
        <v>-101.65</v>
      </c>
      <c r="AE29">
        <v>44625</v>
      </c>
      <c r="AF29">
        <v>-122025</v>
      </c>
      <c r="AG29" t="s">
        <v>21</v>
      </c>
      <c r="AH29">
        <v>120675</v>
      </c>
      <c r="AI29" t="s">
        <v>21</v>
      </c>
      <c r="AJ29">
        <v>133.25</v>
      </c>
      <c r="AK29">
        <v>127.6</v>
      </c>
      <c r="AL29">
        <v>137.4</v>
      </c>
      <c r="AM29">
        <v>125.9</v>
      </c>
      <c r="AN29">
        <v>89.56</v>
      </c>
      <c r="AO29" s="1">
        <v>45659.479166666664</v>
      </c>
      <c r="AP29">
        <v>3.7</v>
      </c>
      <c r="AQ29">
        <v>4256775</v>
      </c>
      <c r="AR29">
        <v>162</v>
      </c>
      <c r="AS29">
        <v>523500</v>
      </c>
      <c r="AT29">
        <v>620925</v>
      </c>
      <c r="AU29">
        <v>3.95</v>
      </c>
      <c r="AV29">
        <v>3.9</v>
      </c>
      <c r="AW29">
        <v>-97425</v>
      </c>
      <c r="AX29">
        <v>-49.55</v>
      </c>
      <c r="AY29">
        <v>50850</v>
      </c>
      <c r="AZ29">
        <v>176025</v>
      </c>
      <c r="BA29" t="s">
        <v>21</v>
      </c>
      <c r="BB29">
        <v>-85650</v>
      </c>
      <c r="BC29" t="s">
        <v>21</v>
      </c>
      <c r="BD29">
        <v>54.1</v>
      </c>
      <c r="BE29">
        <v>57.8</v>
      </c>
      <c r="BF29">
        <v>58.9</v>
      </c>
      <c r="BG29">
        <v>50.95</v>
      </c>
      <c r="BH29">
        <v>93.44</v>
      </c>
      <c r="BI29" s="1">
        <v>45659.479166666664</v>
      </c>
      <c r="BJ29">
        <v>1735797600</v>
      </c>
      <c r="BK29">
        <v>14.32</v>
      </c>
      <c r="BL29">
        <v>14.36</v>
      </c>
      <c r="BM29">
        <v>14.3</v>
      </c>
      <c r="BN29">
        <v>14.33</v>
      </c>
      <c r="BO29">
        <v>0</v>
      </c>
      <c r="BP29" s="2">
        <f t="shared" si="0"/>
        <v>3.25</v>
      </c>
      <c r="BQ29" s="2">
        <f t="shared" si="1"/>
        <v>9.9999999999997868E-3</v>
      </c>
      <c r="BR29" s="2">
        <f t="shared" si="5"/>
        <v>3.2500000000000693</v>
      </c>
      <c r="BT29" s="2">
        <f t="shared" si="4"/>
        <v>7.4927953890497933E-3</v>
      </c>
      <c r="BU29" s="2">
        <f t="shared" si="3"/>
        <v>1</v>
      </c>
    </row>
    <row r="30" spans="1:73" s="2" customFormat="1" x14ac:dyDescent="0.25">
      <c r="A30" s="1">
        <v>45659.482638888891</v>
      </c>
      <c r="B30">
        <v>-7.9</v>
      </c>
      <c r="C30">
        <v>56300</v>
      </c>
      <c r="D30">
        <v>163</v>
      </c>
      <c r="E30">
        <v>39525</v>
      </c>
      <c r="F30">
        <v>41375</v>
      </c>
      <c r="G30">
        <v>-7.6</v>
      </c>
      <c r="H30">
        <v>-8</v>
      </c>
      <c r="I30">
        <v>-1850</v>
      </c>
      <c r="J30">
        <v>-582.45000000000005</v>
      </c>
      <c r="K30">
        <v>14475</v>
      </c>
      <c r="L30">
        <v>3500</v>
      </c>
      <c r="M30" t="s">
        <v>20</v>
      </c>
      <c r="N30">
        <v>7025</v>
      </c>
      <c r="O30" t="s">
        <v>20</v>
      </c>
      <c r="P30">
        <v>23974.880000000001</v>
      </c>
      <c r="Q30">
        <v>24067.9</v>
      </c>
      <c r="R30">
        <v>24060</v>
      </c>
      <c r="S30">
        <v>24067.95</v>
      </c>
      <c r="T30">
        <v>24055.05</v>
      </c>
      <c r="U30" s="1">
        <v>45659.482638888891</v>
      </c>
      <c r="V30">
        <v>-1.55</v>
      </c>
      <c r="W30">
        <v>1652625</v>
      </c>
      <c r="X30">
        <v>181</v>
      </c>
      <c r="Y30">
        <v>221925</v>
      </c>
      <c r="Z30">
        <v>221700</v>
      </c>
      <c r="AA30">
        <v>-1.45</v>
      </c>
      <c r="AB30">
        <v>-1.7</v>
      </c>
      <c r="AC30">
        <v>225</v>
      </c>
      <c r="AD30">
        <v>-105.15</v>
      </c>
      <c r="AE30">
        <v>47700</v>
      </c>
      <c r="AF30">
        <v>-10425</v>
      </c>
      <c r="AG30" t="s">
        <v>22</v>
      </c>
      <c r="AH30">
        <v>16800</v>
      </c>
      <c r="AI30" t="s">
        <v>20</v>
      </c>
      <c r="AJ30">
        <v>127.35</v>
      </c>
      <c r="AK30">
        <v>125.8</v>
      </c>
      <c r="AL30">
        <v>128.75</v>
      </c>
      <c r="AM30">
        <v>121.2</v>
      </c>
      <c r="AN30">
        <v>89.91</v>
      </c>
      <c r="AO30" s="1">
        <v>45659.482638888891</v>
      </c>
      <c r="AP30">
        <v>4.4000000000000004</v>
      </c>
      <c r="AQ30">
        <v>3257775</v>
      </c>
      <c r="AR30">
        <v>180</v>
      </c>
      <c r="AS30">
        <v>551250</v>
      </c>
      <c r="AT30">
        <v>593100</v>
      </c>
      <c r="AU30">
        <v>4.45</v>
      </c>
      <c r="AV30">
        <v>4.45</v>
      </c>
      <c r="AW30">
        <v>-41850</v>
      </c>
      <c r="AX30">
        <v>-62.35</v>
      </c>
      <c r="AY30">
        <v>55725</v>
      </c>
      <c r="AZ30">
        <v>51600</v>
      </c>
      <c r="BA30" t="s">
        <v>20</v>
      </c>
      <c r="BB30">
        <v>-25350</v>
      </c>
      <c r="BC30" t="s">
        <v>22</v>
      </c>
      <c r="BD30">
        <v>57.8</v>
      </c>
      <c r="BE30">
        <v>62.2</v>
      </c>
      <c r="BF30">
        <v>63</v>
      </c>
      <c r="BG30">
        <v>57.8</v>
      </c>
      <c r="BH30">
        <v>92.5</v>
      </c>
      <c r="BI30" s="1">
        <v>45659.482638888891</v>
      </c>
      <c r="BJ30">
        <v>1735797900</v>
      </c>
      <c r="BK30">
        <v>14.34</v>
      </c>
      <c r="BL30">
        <v>14.35</v>
      </c>
      <c r="BM30">
        <v>14.3</v>
      </c>
      <c r="BN30">
        <v>14.34</v>
      </c>
      <c r="BO30">
        <v>0</v>
      </c>
      <c r="BP30" s="2">
        <f t="shared" si="0"/>
        <v>7.9000000000014552</v>
      </c>
      <c r="BQ30" s="2">
        <f t="shared" si="1"/>
        <v>0</v>
      </c>
      <c r="BR30" s="2" t="e">
        <f t="shared" si="5"/>
        <v>#DIV/0!</v>
      </c>
      <c r="BT30">
        <f t="shared" si="4"/>
        <v>2.4307692307696267E-2</v>
      </c>
      <c r="BU30" s="2">
        <f t="shared" si="3"/>
        <v>-1</v>
      </c>
    </row>
    <row r="31" spans="1:73" hidden="1" x14ac:dyDescent="0.25">
      <c r="A31" s="1">
        <v>45659.486111111109</v>
      </c>
      <c r="B31">
        <v>-1.25</v>
      </c>
      <c r="C31">
        <v>69950</v>
      </c>
      <c r="D31">
        <v>163</v>
      </c>
      <c r="E31">
        <v>26750</v>
      </c>
      <c r="F31">
        <v>47525</v>
      </c>
      <c r="G31">
        <v>-3.45</v>
      </c>
      <c r="H31">
        <v>-3.15</v>
      </c>
      <c r="I31">
        <v>-20775</v>
      </c>
      <c r="J31">
        <v>-689.25</v>
      </c>
      <c r="K31">
        <v>14575</v>
      </c>
      <c r="L31">
        <v>-5475</v>
      </c>
      <c r="M31" t="s">
        <v>21</v>
      </c>
      <c r="N31">
        <v>-675</v>
      </c>
      <c r="O31" t="s">
        <v>22</v>
      </c>
      <c r="P31">
        <v>23976.81</v>
      </c>
      <c r="Q31">
        <v>24060</v>
      </c>
      <c r="R31">
        <v>24058.75</v>
      </c>
      <c r="S31">
        <v>24062.95</v>
      </c>
      <c r="T31">
        <v>24048</v>
      </c>
      <c r="U31" s="1">
        <v>45659.486111111109</v>
      </c>
      <c r="V31">
        <v>-0.55000000000000004</v>
      </c>
      <c r="W31">
        <v>2104050</v>
      </c>
      <c r="X31">
        <v>180</v>
      </c>
      <c r="Y31">
        <v>196200</v>
      </c>
      <c r="Z31">
        <v>246075</v>
      </c>
      <c r="AA31">
        <v>0.05</v>
      </c>
      <c r="AB31">
        <v>0</v>
      </c>
      <c r="AC31">
        <v>-49875</v>
      </c>
      <c r="AD31">
        <v>-106.3</v>
      </c>
      <c r="AE31">
        <v>44100</v>
      </c>
      <c r="AF31">
        <v>-9525</v>
      </c>
      <c r="AG31" t="s">
        <v>20</v>
      </c>
      <c r="AH31">
        <v>-1650</v>
      </c>
      <c r="AI31" t="s">
        <v>22</v>
      </c>
      <c r="AJ31">
        <v>126.05</v>
      </c>
      <c r="AK31">
        <v>125.5</v>
      </c>
      <c r="AL31">
        <v>127.65</v>
      </c>
      <c r="AM31">
        <v>117.4</v>
      </c>
      <c r="AN31">
        <v>90.32</v>
      </c>
      <c r="AO31" s="1">
        <v>45659.486111111109</v>
      </c>
      <c r="AP31">
        <v>2.85</v>
      </c>
      <c r="AQ31">
        <v>4061625</v>
      </c>
      <c r="AR31">
        <v>180</v>
      </c>
      <c r="AS31">
        <v>528825</v>
      </c>
      <c r="AT31">
        <v>594000</v>
      </c>
      <c r="AU31">
        <v>2.5499999999999998</v>
      </c>
      <c r="AV31">
        <v>2.5499999999999998</v>
      </c>
      <c r="AW31">
        <v>-65175</v>
      </c>
      <c r="AX31">
        <v>-66.3</v>
      </c>
      <c r="AY31">
        <v>53250</v>
      </c>
      <c r="AZ31">
        <v>196650</v>
      </c>
      <c r="BA31" t="s">
        <v>21</v>
      </c>
      <c r="BB31">
        <v>-24975</v>
      </c>
      <c r="BC31" t="s">
        <v>20</v>
      </c>
      <c r="BD31">
        <v>62.4</v>
      </c>
      <c r="BE31">
        <v>65.25</v>
      </c>
      <c r="BF31">
        <v>68.599999999999994</v>
      </c>
      <c r="BG31">
        <v>60.75</v>
      </c>
      <c r="BH31">
        <v>91.54</v>
      </c>
      <c r="BI31" s="1">
        <v>45659.486111111109</v>
      </c>
      <c r="BJ31">
        <v>1735798200</v>
      </c>
      <c r="BK31">
        <v>14.35</v>
      </c>
      <c r="BL31">
        <v>14.4</v>
      </c>
      <c r="BM31">
        <v>14.32</v>
      </c>
      <c r="BN31">
        <v>14.39</v>
      </c>
      <c r="BO31">
        <v>0</v>
      </c>
      <c r="BP31">
        <f t="shared" si="0"/>
        <v>1.25</v>
      </c>
      <c r="BQ31">
        <f t="shared" si="1"/>
        <v>4.0000000000000924E-2</v>
      </c>
      <c r="BR31">
        <f t="shared" si="5"/>
        <v>0.31249999999999278</v>
      </c>
      <c r="BT31" t="e">
        <f t="shared" si="4"/>
        <v>#DIV/0!</v>
      </c>
      <c r="BU31" t="e">
        <f t="shared" si="3"/>
        <v>#DIV/0!</v>
      </c>
    </row>
    <row r="32" spans="1:73" s="2" customFormat="1" hidden="1" x14ac:dyDescent="0.25">
      <c r="A32" s="1">
        <v>45659.489583333336</v>
      </c>
      <c r="B32">
        <v>-17</v>
      </c>
      <c r="C32">
        <v>74625</v>
      </c>
      <c r="D32">
        <v>172</v>
      </c>
      <c r="E32">
        <v>25500</v>
      </c>
      <c r="F32">
        <v>144200</v>
      </c>
      <c r="G32">
        <v>-16.899999999999999</v>
      </c>
      <c r="H32">
        <v>-14.75</v>
      </c>
      <c r="I32">
        <v>-118700</v>
      </c>
      <c r="J32">
        <v>-734.35</v>
      </c>
      <c r="K32">
        <v>15675</v>
      </c>
      <c r="L32">
        <v>15850</v>
      </c>
      <c r="M32" t="s">
        <v>22</v>
      </c>
      <c r="N32">
        <v>3175</v>
      </c>
      <c r="O32" t="s">
        <v>20</v>
      </c>
      <c r="P32">
        <v>23978.54</v>
      </c>
      <c r="Q32">
        <v>24057.05</v>
      </c>
      <c r="R32">
        <v>24040.05</v>
      </c>
      <c r="S32">
        <v>24061.15</v>
      </c>
      <c r="T32">
        <v>24034.2</v>
      </c>
      <c r="U32" s="1">
        <v>45659.489583333336</v>
      </c>
      <c r="V32">
        <v>-6.4</v>
      </c>
      <c r="W32">
        <v>2193900</v>
      </c>
      <c r="X32">
        <v>180</v>
      </c>
      <c r="Y32">
        <v>231750</v>
      </c>
      <c r="Z32">
        <v>213600</v>
      </c>
      <c r="AA32">
        <v>-6.75</v>
      </c>
      <c r="AB32">
        <v>-6.7</v>
      </c>
      <c r="AC32">
        <v>18150</v>
      </c>
      <c r="AD32">
        <v>-101.65</v>
      </c>
      <c r="AE32">
        <v>42525</v>
      </c>
      <c r="AF32">
        <v>164400</v>
      </c>
      <c r="AG32" t="s">
        <v>22</v>
      </c>
      <c r="AH32">
        <v>28350</v>
      </c>
      <c r="AI32" t="s">
        <v>21</v>
      </c>
      <c r="AJ32">
        <v>125.7</v>
      </c>
      <c r="AK32">
        <v>119.3</v>
      </c>
      <c r="AL32">
        <v>127.8</v>
      </c>
      <c r="AM32">
        <v>115.85</v>
      </c>
      <c r="AN32">
        <v>90.72</v>
      </c>
      <c r="AO32" s="1">
        <v>45659.489583333336</v>
      </c>
      <c r="AP32">
        <v>8.75</v>
      </c>
      <c r="AQ32">
        <v>5718975</v>
      </c>
      <c r="AR32">
        <v>180</v>
      </c>
      <c r="AS32">
        <v>467175</v>
      </c>
      <c r="AT32">
        <v>521025</v>
      </c>
      <c r="AU32">
        <v>8.6999999999999993</v>
      </c>
      <c r="AV32">
        <v>8.75</v>
      </c>
      <c r="AW32">
        <v>-53850</v>
      </c>
      <c r="AX32">
        <v>-68.55</v>
      </c>
      <c r="AY32">
        <v>46800</v>
      </c>
      <c r="AZ32">
        <v>79050</v>
      </c>
      <c r="BA32" t="s">
        <v>20</v>
      </c>
      <c r="BB32">
        <v>-239325</v>
      </c>
      <c r="BC32" t="s">
        <v>21</v>
      </c>
      <c r="BD32">
        <v>65.05</v>
      </c>
      <c r="BE32">
        <v>73.8</v>
      </c>
      <c r="BF32">
        <v>75.400000000000006</v>
      </c>
      <c r="BG32">
        <v>64.900000000000006</v>
      </c>
      <c r="BH32">
        <v>90.55</v>
      </c>
      <c r="BI32" s="1">
        <v>45659.489583333336</v>
      </c>
      <c r="BJ32">
        <v>1735798500</v>
      </c>
      <c r="BK32">
        <v>14.4</v>
      </c>
      <c r="BL32">
        <v>14.48</v>
      </c>
      <c r="BM32">
        <v>14.36</v>
      </c>
      <c r="BN32">
        <v>14.45</v>
      </c>
      <c r="BO32">
        <v>0</v>
      </c>
      <c r="BP32" s="2">
        <f t="shared" si="0"/>
        <v>17</v>
      </c>
      <c r="BQ32" s="2">
        <f t="shared" si="1"/>
        <v>4.9999999999998934E-2</v>
      </c>
      <c r="BR32" s="2">
        <f t="shared" si="5"/>
        <v>3.4000000000000727</v>
      </c>
      <c r="BT32">
        <f t="shared" si="4"/>
        <v>0.54400000000001258</v>
      </c>
      <c r="BU32" s="2">
        <f t="shared" si="3"/>
        <v>-1</v>
      </c>
    </row>
    <row r="33" spans="1:73" x14ac:dyDescent="0.25">
      <c r="A33" s="1">
        <v>45659.493055555555</v>
      </c>
      <c r="B33">
        <v>-20</v>
      </c>
      <c r="C33">
        <v>55775</v>
      </c>
      <c r="D33">
        <v>173</v>
      </c>
      <c r="E33">
        <v>117775</v>
      </c>
      <c r="F33">
        <v>107125</v>
      </c>
      <c r="G33">
        <v>-18.05</v>
      </c>
      <c r="H33">
        <v>-17.100000000000001</v>
      </c>
      <c r="I33">
        <v>10650</v>
      </c>
      <c r="J33">
        <v>-632.65</v>
      </c>
      <c r="K33">
        <v>18800</v>
      </c>
      <c r="L33">
        <v>-16125</v>
      </c>
      <c r="M33" t="s">
        <v>21</v>
      </c>
      <c r="N33">
        <v>-625</v>
      </c>
      <c r="O33" t="s">
        <v>22</v>
      </c>
      <c r="P33">
        <v>23979.55</v>
      </c>
      <c r="Q33">
        <v>24042</v>
      </c>
      <c r="R33">
        <v>24022</v>
      </c>
      <c r="S33">
        <v>24047.4</v>
      </c>
      <c r="T33">
        <v>24022</v>
      </c>
      <c r="U33" s="1">
        <v>45659.493055555555</v>
      </c>
      <c r="V33">
        <v>-18.2</v>
      </c>
      <c r="W33">
        <v>3976350</v>
      </c>
      <c r="X33">
        <v>180</v>
      </c>
      <c r="Y33">
        <v>260925</v>
      </c>
      <c r="Z33">
        <v>237975</v>
      </c>
      <c r="AA33">
        <v>-16.55</v>
      </c>
      <c r="AB33">
        <v>-16.55</v>
      </c>
      <c r="AC33">
        <v>22950</v>
      </c>
      <c r="AD33">
        <v>-96.5</v>
      </c>
      <c r="AE33">
        <v>47325</v>
      </c>
      <c r="AF33">
        <v>-90300</v>
      </c>
      <c r="AG33" t="s">
        <v>21</v>
      </c>
      <c r="AH33">
        <v>25125</v>
      </c>
      <c r="AI33" t="s">
        <v>20</v>
      </c>
      <c r="AJ33">
        <v>119.25</v>
      </c>
      <c r="AK33">
        <v>101.05</v>
      </c>
      <c r="AL33">
        <v>121.05</v>
      </c>
      <c r="AM33">
        <v>101.05</v>
      </c>
      <c r="AN33">
        <v>91.2</v>
      </c>
      <c r="AO33" s="1">
        <v>45659.493055555555</v>
      </c>
      <c r="AP33">
        <v>6.6</v>
      </c>
      <c r="AQ33">
        <v>8161050</v>
      </c>
      <c r="AR33">
        <v>180</v>
      </c>
      <c r="AS33">
        <v>367275</v>
      </c>
      <c r="AT33">
        <v>399750</v>
      </c>
      <c r="AU33">
        <v>4.9000000000000004</v>
      </c>
      <c r="AV33">
        <v>4.9000000000000004</v>
      </c>
      <c r="AW33">
        <v>-32475</v>
      </c>
      <c r="AX33">
        <v>-73</v>
      </c>
      <c r="AY33">
        <v>49725</v>
      </c>
      <c r="AZ33">
        <v>20475</v>
      </c>
      <c r="BA33" t="s">
        <v>20</v>
      </c>
      <c r="BB33">
        <v>-250425</v>
      </c>
      <c r="BC33" t="s">
        <v>21</v>
      </c>
      <c r="BD33">
        <v>73.849999999999994</v>
      </c>
      <c r="BE33">
        <v>80.45</v>
      </c>
      <c r="BF33">
        <v>80.45</v>
      </c>
      <c r="BG33">
        <v>68.099999999999994</v>
      </c>
      <c r="BH33">
        <v>89.55</v>
      </c>
      <c r="BI33" s="1">
        <v>45659.493055555555</v>
      </c>
      <c r="BJ33">
        <v>1735798800</v>
      </c>
      <c r="BK33">
        <v>14.46</v>
      </c>
      <c r="BL33">
        <v>14.49</v>
      </c>
      <c r="BM33">
        <v>14.38</v>
      </c>
      <c r="BN33">
        <v>14.42</v>
      </c>
      <c r="BO33">
        <v>0</v>
      </c>
      <c r="BP33">
        <f t="shared" si="0"/>
        <v>20</v>
      </c>
      <c r="BQ33">
        <f t="shared" si="1"/>
        <v>4.0000000000000924E-2</v>
      </c>
      <c r="BR33">
        <f t="shared" si="5"/>
        <v>4.9999999999998845</v>
      </c>
      <c r="BT33">
        <f t="shared" si="4"/>
        <v>5.8823529411763449E-2</v>
      </c>
      <c r="BU33">
        <f t="shared" si="3"/>
        <v>-1</v>
      </c>
    </row>
    <row r="34" spans="1:73" hidden="1" x14ac:dyDescent="0.25">
      <c r="A34" s="1">
        <v>45659.496527777781</v>
      </c>
      <c r="B34">
        <v>25.2</v>
      </c>
      <c r="C34">
        <v>50775</v>
      </c>
      <c r="D34">
        <v>161</v>
      </c>
      <c r="E34">
        <v>23225</v>
      </c>
      <c r="F34">
        <v>127700</v>
      </c>
      <c r="G34">
        <v>27.35</v>
      </c>
      <c r="H34">
        <v>25</v>
      </c>
      <c r="I34">
        <v>-104475</v>
      </c>
      <c r="J34">
        <v>-696.35</v>
      </c>
      <c r="K34">
        <v>14875</v>
      </c>
      <c r="L34">
        <v>13875</v>
      </c>
      <c r="M34" t="s">
        <v>22</v>
      </c>
      <c r="N34">
        <v>-7075</v>
      </c>
      <c r="O34" t="s">
        <v>22</v>
      </c>
      <c r="P34">
        <v>23980.400000000001</v>
      </c>
      <c r="Q34">
        <v>24024.799999999999</v>
      </c>
      <c r="R34">
        <v>24050</v>
      </c>
      <c r="S34">
        <v>24050</v>
      </c>
      <c r="T34">
        <v>24021.1</v>
      </c>
      <c r="U34" s="1">
        <v>45659.496527777781</v>
      </c>
      <c r="V34">
        <v>14.95</v>
      </c>
      <c r="W34">
        <v>3605025</v>
      </c>
      <c r="X34">
        <v>180</v>
      </c>
      <c r="Y34">
        <v>284850</v>
      </c>
      <c r="Z34">
        <v>379125</v>
      </c>
      <c r="AA34">
        <v>15.5</v>
      </c>
      <c r="AB34">
        <v>15.6</v>
      </c>
      <c r="AC34">
        <v>-94275</v>
      </c>
      <c r="AD34">
        <v>-94.8</v>
      </c>
      <c r="AE34">
        <v>45525</v>
      </c>
      <c r="AF34">
        <v>218325</v>
      </c>
      <c r="AG34" t="s">
        <v>22</v>
      </c>
      <c r="AH34">
        <v>-92625</v>
      </c>
      <c r="AI34" t="s">
        <v>22</v>
      </c>
      <c r="AJ34">
        <v>101.15</v>
      </c>
      <c r="AK34">
        <v>116.1</v>
      </c>
      <c r="AL34">
        <v>117</v>
      </c>
      <c r="AM34">
        <v>100.75</v>
      </c>
      <c r="AN34">
        <v>91.55</v>
      </c>
      <c r="AO34" s="1">
        <v>45659.496527777781</v>
      </c>
      <c r="AP34">
        <v>-13.45</v>
      </c>
      <c r="AQ34">
        <v>6291450</v>
      </c>
      <c r="AR34">
        <v>180</v>
      </c>
      <c r="AS34">
        <v>444525</v>
      </c>
      <c r="AT34">
        <v>427800</v>
      </c>
      <c r="AU34">
        <v>-14</v>
      </c>
      <c r="AV34">
        <v>-13.95</v>
      </c>
      <c r="AW34">
        <v>16725</v>
      </c>
      <c r="AX34">
        <v>-74.45</v>
      </c>
      <c r="AY34">
        <v>50100</v>
      </c>
      <c r="AZ34">
        <v>-301800</v>
      </c>
      <c r="BA34" t="s">
        <v>22</v>
      </c>
      <c r="BB34">
        <v>343200</v>
      </c>
      <c r="BC34" t="s">
        <v>22</v>
      </c>
      <c r="BD34">
        <v>80.45</v>
      </c>
      <c r="BE34">
        <v>67</v>
      </c>
      <c r="BF34">
        <v>80.45</v>
      </c>
      <c r="BG34">
        <v>66.349999999999994</v>
      </c>
      <c r="BH34">
        <v>88.86</v>
      </c>
      <c r="BI34" s="1">
        <v>45659.496527777781</v>
      </c>
      <c r="BJ34">
        <v>1735799100</v>
      </c>
      <c r="BK34">
        <v>14.44</v>
      </c>
      <c r="BL34">
        <v>14.44</v>
      </c>
      <c r="BM34">
        <v>14.31</v>
      </c>
      <c r="BN34">
        <v>14.31</v>
      </c>
      <c r="BO34">
        <v>0</v>
      </c>
      <c r="BP34">
        <f t="shared" si="0"/>
        <v>25.200000000000728</v>
      </c>
      <c r="BQ34">
        <f t="shared" si="1"/>
        <v>0.12999999999999901</v>
      </c>
      <c r="BR34">
        <f t="shared" si="5"/>
        <v>1.9384615384616093</v>
      </c>
      <c r="BT34">
        <f t="shared" si="4"/>
        <v>5.0400000000002623E-2</v>
      </c>
      <c r="BU34">
        <f t="shared" si="3"/>
        <v>1</v>
      </c>
    </row>
    <row r="35" spans="1:73" x14ac:dyDescent="0.25">
      <c r="A35" s="1">
        <v>45659.5</v>
      </c>
      <c r="B35">
        <v>0.55000000000000004</v>
      </c>
      <c r="C35">
        <v>59275</v>
      </c>
      <c r="D35">
        <v>162</v>
      </c>
      <c r="E35">
        <v>24900</v>
      </c>
      <c r="F35">
        <v>103450</v>
      </c>
      <c r="G35">
        <v>2.0499999999999998</v>
      </c>
      <c r="H35">
        <v>3.4</v>
      </c>
      <c r="I35">
        <v>-78550</v>
      </c>
      <c r="J35">
        <v>-609.70000000000005</v>
      </c>
      <c r="K35">
        <v>12600</v>
      </c>
      <c r="L35">
        <v>9600</v>
      </c>
      <c r="M35" t="s">
        <v>20</v>
      </c>
      <c r="N35">
        <v>50225</v>
      </c>
      <c r="O35" t="s">
        <v>21</v>
      </c>
      <c r="P35">
        <v>23982</v>
      </c>
      <c r="Q35">
        <v>24056.6</v>
      </c>
      <c r="R35">
        <v>24057.15</v>
      </c>
      <c r="S35">
        <v>24070.9</v>
      </c>
      <c r="T35">
        <v>24047.85</v>
      </c>
      <c r="U35" s="1">
        <v>45659.5</v>
      </c>
      <c r="V35">
        <v>-3.15</v>
      </c>
      <c r="W35">
        <v>4816275</v>
      </c>
      <c r="X35">
        <v>180</v>
      </c>
      <c r="Y35">
        <v>217575</v>
      </c>
      <c r="Z35">
        <v>222300</v>
      </c>
      <c r="AA35">
        <v>-3.15</v>
      </c>
      <c r="AB35">
        <v>-3.15</v>
      </c>
      <c r="AC35">
        <v>-4725</v>
      </c>
      <c r="AD35">
        <v>-104.25</v>
      </c>
      <c r="AE35">
        <v>39675</v>
      </c>
      <c r="AF35">
        <v>-133050</v>
      </c>
      <c r="AG35" t="s">
        <v>21</v>
      </c>
      <c r="AH35">
        <v>101925</v>
      </c>
      <c r="AI35" t="s">
        <v>21</v>
      </c>
      <c r="AJ35">
        <v>119.35</v>
      </c>
      <c r="AK35">
        <v>116.2</v>
      </c>
      <c r="AL35">
        <v>130</v>
      </c>
      <c r="AM35">
        <v>115</v>
      </c>
      <c r="AN35">
        <v>92.36</v>
      </c>
      <c r="AO35" s="1">
        <v>45659.5</v>
      </c>
      <c r="AP35">
        <v>-8.35</v>
      </c>
      <c r="AQ35">
        <v>8178225</v>
      </c>
      <c r="AR35">
        <v>180</v>
      </c>
      <c r="AS35">
        <v>505125</v>
      </c>
      <c r="AT35">
        <v>596775</v>
      </c>
      <c r="AU35">
        <v>-9.35</v>
      </c>
      <c r="AV35">
        <v>-9.4499999999999993</v>
      </c>
      <c r="AW35">
        <v>-91650</v>
      </c>
      <c r="AX35">
        <v>-60</v>
      </c>
      <c r="AY35">
        <v>53175</v>
      </c>
      <c r="AZ35">
        <v>265725</v>
      </c>
      <c r="BA35" t="s">
        <v>21</v>
      </c>
      <c r="BB35">
        <v>22725</v>
      </c>
      <c r="BC35" t="s">
        <v>20</v>
      </c>
      <c r="BD35">
        <v>61.7</v>
      </c>
      <c r="BE35">
        <v>53.35</v>
      </c>
      <c r="BF35">
        <v>64.900000000000006</v>
      </c>
      <c r="BG35">
        <v>48.1</v>
      </c>
      <c r="BH35">
        <v>86.89</v>
      </c>
      <c r="BI35" s="1">
        <v>45659.5</v>
      </c>
      <c r="BJ35">
        <v>1735799400</v>
      </c>
      <c r="BK35">
        <v>14.29</v>
      </c>
      <c r="BL35">
        <v>14.34</v>
      </c>
      <c r="BM35">
        <v>14.25</v>
      </c>
      <c r="BN35">
        <v>14.29</v>
      </c>
      <c r="BO35">
        <v>0</v>
      </c>
      <c r="BP35">
        <f t="shared" si="0"/>
        <v>0.55000000000291038</v>
      </c>
      <c r="BQ35">
        <f t="shared" si="1"/>
        <v>0</v>
      </c>
      <c r="BR35" t="e">
        <f t="shared" si="5"/>
        <v>#DIV/0!</v>
      </c>
      <c r="BT35">
        <f t="shared" si="4"/>
        <v>2.8373015873164975E-3</v>
      </c>
      <c r="BU35">
        <f t="shared" si="3"/>
        <v>-1</v>
      </c>
    </row>
    <row r="36" spans="1:73" hidden="1" x14ac:dyDescent="0.25">
      <c r="A36" s="1">
        <v>45659.503472222219</v>
      </c>
      <c r="B36">
        <v>4.8499999999999996</v>
      </c>
      <c r="C36">
        <v>23675</v>
      </c>
      <c r="D36">
        <v>157</v>
      </c>
      <c r="E36">
        <v>23800</v>
      </c>
      <c r="F36">
        <v>48525</v>
      </c>
      <c r="G36">
        <v>3.65</v>
      </c>
      <c r="H36">
        <v>6.5</v>
      </c>
      <c r="I36">
        <v>-24725</v>
      </c>
      <c r="J36">
        <v>-493.8</v>
      </c>
      <c r="K36">
        <v>11250</v>
      </c>
      <c r="L36">
        <v>-2350</v>
      </c>
      <c r="M36" t="s">
        <v>21</v>
      </c>
      <c r="N36">
        <v>-10600</v>
      </c>
      <c r="O36" t="s">
        <v>22</v>
      </c>
      <c r="P36">
        <v>23982.59</v>
      </c>
      <c r="Q36">
        <v>24057.15</v>
      </c>
      <c r="R36">
        <v>24062</v>
      </c>
      <c r="S36">
        <v>24065.55</v>
      </c>
      <c r="T36">
        <v>24057.15</v>
      </c>
      <c r="U36" s="1">
        <v>45659.503472222219</v>
      </c>
      <c r="V36">
        <v>5.7</v>
      </c>
      <c r="W36">
        <v>1890675</v>
      </c>
      <c r="X36">
        <v>180</v>
      </c>
      <c r="Y36">
        <v>243375</v>
      </c>
      <c r="Z36">
        <v>203400</v>
      </c>
      <c r="AA36">
        <v>5.45</v>
      </c>
      <c r="AB36">
        <v>5.45</v>
      </c>
      <c r="AC36">
        <v>39975</v>
      </c>
      <c r="AD36">
        <v>-104.45</v>
      </c>
      <c r="AE36">
        <v>40500</v>
      </c>
      <c r="AF36">
        <v>-89400</v>
      </c>
      <c r="AG36" t="s">
        <v>22</v>
      </c>
      <c r="AH36">
        <v>25575</v>
      </c>
      <c r="AI36" t="s">
        <v>20</v>
      </c>
      <c r="AJ36">
        <v>116.3</v>
      </c>
      <c r="AK36">
        <v>122</v>
      </c>
      <c r="AL36">
        <v>124.1</v>
      </c>
      <c r="AM36">
        <v>114.25</v>
      </c>
      <c r="AN36">
        <v>92.64</v>
      </c>
      <c r="AO36" s="1">
        <v>45659.503472222219</v>
      </c>
      <c r="AP36">
        <v>1.8</v>
      </c>
      <c r="AQ36">
        <v>3380025</v>
      </c>
      <c r="AR36">
        <v>180</v>
      </c>
      <c r="AS36">
        <v>556125</v>
      </c>
      <c r="AT36">
        <v>654000</v>
      </c>
      <c r="AU36">
        <v>2.0499999999999998</v>
      </c>
      <c r="AV36">
        <v>2.0499999999999998</v>
      </c>
      <c r="AW36">
        <v>-97875</v>
      </c>
      <c r="AX36">
        <v>-57.35</v>
      </c>
      <c r="AY36">
        <v>47850</v>
      </c>
      <c r="AZ36">
        <v>230250</v>
      </c>
      <c r="BA36" t="s">
        <v>20</v>
      </c>
      <c r="BB36">
        <v>58800</v>
      </c>
      <c r="BC36" t="s">
        <v>22</v>
      </c>
      <c r="BD36">
        <v>53.35</v>
      </c>
      <c r="BE36">
        <v>55.15</v>
      </c>
      <c r="BF36">
        <v>57</v>
      </c>
      <c r="BG36">
        <v>50.65</v>
      </c>
      <c r="BH36">
        <v>86.15</v>
      </c>
      <c r="BI36" s="1">
        <v>45659.503472222219</v>
      </c>
      <c r="BJ36">
        <v>1735799700</v>
      </c>
      <c r="BK36">
        <v>14.27</v>
      </c>
      <c r="BL36">
        <v>14.34</v>
      </c>
      <c r="BM36">
        <v>14.27</v>
      </c>
      <c r="BN36">
        <v>14.31</v>
      </c>
      <c r="BO36">
        <v>0</v>
      </c>
      <c r="BP36">
        <f t="shared" si="0"/>
        <v>4.8499999999985448</v>
      </c>
      <c r="BQ36">
        <f t="shared" si="1"/>
        <v>4.0000000000000924E-2</v>
      </c>
      <c r="BR36">
        <f t="shared" si="5"/>
        <v>1.2124999999996082</v>
      </c>
      <c r="BT36" t="e">
        <f t="shared" si="4"/>
        <v>#DIV/0!</v>
      </c>
      <c r="BU36" t="e">
        <f t="shared" si="3"/>
        <v>#DIV/0!</v>
      </c>
    </row>
    <row r="37" spans="1:73" s="2" customFormat="1" hidden="1" x14ac:dyDescent="0.25">
      <c r="A37" s="1">
        <v>45659.506944444445</v>
      </c>
      <c r="B37">
        <v>-22.05</v>
      </c>
      <c r="C37">
        <v>56875</v>
      </c>
      <c r="D37">
        <v>166</v>
      </c>
      <c r="E37">
        <v>32925</v>
      </c>
      <c r="F37">
        <v>80650</v>
      </c>
      <c r="G37">
        <v>-22.05</v>
      </c>
      <c r="H37">
        <v>-21.15</v>
      </c>
      <c r="I37">
        <v>-47725</v>
      </c>
      <c r="J37">
        <v>-892.6</v>
      </c>
      <c r="K37">
        <v>15500</v>
      </c>
      <c r="L37">
        <v>-5100</v>
      </c>
      <c r="M37" t="s">
        <v>21</v>
      </c>
      <c r="N37">
        <v>-1250</v>
      </c>
      <c r="O37" t="s">
        <v>20</v>
      </c>
      <c r="P37">
        <v>23983.919999999998</v>
      </c>
      <c r="Q37">
        <v>24062.05</v>
      </c>
      <c r="R37">
        <v>24040</v>
      </c>
      <c r="S37">
        <v>24069</v>
      </c>
      <c r="T37">
        <v>24040</v>
      </c>
      <c r="U37" s="1">
        <v>45659.506944444445</v>
      </c>
      <c r="V37">
        <v>-9.5500000000000007</v>
      </c>
      <c r="W37">
        <v>2253975</v>
      </c>
      <c r="X37">
        <v>180</v>
      </c>
      <c r="Y37">
        <v>238950</v>
      </c>
      <c r="Z37">
        <v>227250</v>
      </c>
      <c r="AA37">
        <v>-9.9</v>
      </c>
      <c r="AB37">
        <v>-9.9499999999999993</v>
      </c>
      <c r="AC37">
        <v>11700</v>
      </c>
      <c r="AD37">
        <v>-101.95</v>
      </c>
      <c r="AE37">
        <v>45375</v>
      </c>
      <c r="AF37">
        <v>-115125</v>
      </c>
      <c r="AG37" t="s">
        <v>21</v>
      </c>
      <c r="AH37">
        <v>28500</v>
      </c>
      <c r="AI37" t="s">
        <v>20</v>
      </c>
      <c r="AJ37">
        <v>121.4</v>
      </c>
      <c r="AK37">
        <v>111.85</v>
      </c>
      <c r="AL37">
        <v>125.55</v>
      </c>
      <c r="AM37">
        <v>110.3</v>
      </c>
      <c r="AN37">
        <v>92.95</v>
      </c>
      <c r="AO37" s="1">
        <v>45659.506944444445</v>
      </c>
      <c r="AP37">
        <v>11.05</v>
      </c>
      <c r="AQ37">
        <v>4561800</v>
      </c>
      <c r="AR37">
        <v>180</v>
      </c>
      <c r="AS37">
        <v>474750</v>
      </c>
      <c r="AT37">
        <v>623625</v>
      </c>
      <c r="AU37">
        <v>11.4</v>
      </c>
      <c r="AV37">
        <v>11.35</v>
      </c>
      <c r="AW37">
        <v>-148875</v>
      </c>
      <c r="AX37">
        <v>-56.25</v>
      </c>
      <c r="AY37">
        <v>49200</v>
      </c>
      <c r="AZ37">
        <v>52350</v>
      </c>
      <c r="BA37" t="s">
        <v>20</v>
      </c>
      <c r="BB37">
        <v>-187275</v>
      </c>
      <c r="BC37" t="s">
        <v>21</v>
      </c>
      <c r="BD37">
        <v>55.7</v>
      </c>
      <c r="BE37">
        <v>66.75</v>
      </c>
      <c r="BF37">
        <v>68.7</v>
      </c>
      <c r="BG37">
        <v>53.8</v>
      </c>
      <c r="BH37">
        <v>85.39</v>
      </c>
      <c r="BI37" s="1">
        <v>45659.506944444445</v>
      </c>
      <c r="BJ37">
        <v>1735800000</v>
      </c>
      <c r="BK37">
        <v>14.3</v>
      </c>
      <c r="BL37">
        <v>14.42</v>
      </c>
      <c r="BM37">
        <v>14.3</v>
      </c>
      <c r="BN37">
        <v>14.41</v>
      </c>
      <c r="BO37">
        <v>0</v>
      </c>
      <c r="BP37" s="2">
        <f t="shared" si="0"/>
        <v>22.049999999999272</v>
      </c>
      <c r="BQ37" s="2">
        <f t="shared" si="1"/>
        <v>0.10999999999999943</v>
      </c>
      <c r="BR37" s="2">
        <f t="shared" si="5"/>
        <v>2.0045454545453989</v>
      </c>
      <c r="BT37">
        <f t="shared" si="4"/>
        <v>0.18185567010314554</v>
      </c>
      <c r="BU37" s="2">
        <f t="shared" si="3"/>
        <v>-1</v>
      </c>
    </row>
    <row r="38" spans="1:73" hidden="1" x14ac:dyDescent="0.25">
      <c r="A38" s="1">
        <v>45659.510416666664</v>
      </c>
      <c r="B38">
        <v>16.350000000000001</v>
      </c>
      <c r="C38">
        <v>52000</v>
      </c>
      <c r="D38">
        <v>164</v>
      </c>
      <c r="E38">
        <v>52725</v>
      </c>
      <c r="F38">
        <v>52925</v>
      </c>
      <c r="G38">
        <v>15.25</v>
      </c>
      <c r="H38">
        <v>14.95</v>
      </c>
      <c r="I38">
        <v>-200</v>
      </c>
      <c r="J38">
        <v>-866.3</v>
      </c>
      <c r="K38">
        <v>13950</v>
      </c>
      <c r="L38">
        <v>35375</v>
      </c>
      <c r="M38" t="s">
        <v>22</v>
      </c>
      <c r="N38">
        <v>25075</v>
      </c>
      <c r="O38" t="s">
        <v>21</v>
      </c>
      <c r="P38">
        <v>23984.79</v>
      </c>
      <c r="Q38">
        <v>24042.25</v>
      </c>
      <c r="R38">
        <v>24058.6</v>
      </c>
      <c r="S38">
        <v>24059.9</v>
      </c>
      <c r="T38">
        <v>24031</v>
      </c>
      <c r="U38" s="1">
        <v>45659.510416666664</v>
      </c>
      <c r="V38">
        <v>3</v>
      </c>
      <c r="W38">
        <v>3441150</v>
      </c>
      <c r="X38">
        <v>172</v>
      </c>
      <c r="Y38">
        <v>205350</v>
      </c>
      <c r="Z38">
        <v>212175</v>
      </c>
      <c r="AA38">
        <v>3.55</v>
      </c>
      <c r="AB38">
        <v>3.5</v>
      </c>
      <c r="AC38">
        <v>-6825</v>
      </c>
      <c r="AD38">
        <v>-87.75</v>
      </c>
      <c r="AE38">
        <v>41550</v>
      </c>
      <c r="AF38">
        <v>176625</v>
      </c>
      <c r="AG38" t="s">
        <v>22</v>
      </c>
      <c r="AH38">
        <v>-24900</v>
      </c>
      <c r="AI38" t="s">
        <v>22</v>
      </c>
      <c r="AJ38">
        <v>111.8</v>
      </c>
      <c r="AK38">
        <v>114.8</v>
      </c>
      <c r="AL38">
        <v>118.5</v>
      </c>
      <c r="AM38">
        <v>103.5</v>
      </c>
      <c r="AN38">
        <v>93.25</v>
      </c>
      <c r="AO38" s="1">
        <v>45659.510416666664</v>
      </c>
      <c r="AP38">
        <v>-5.95</v>
      </c>
      <c r="AQ38">
        <v>7776300</v>
      </c>
      <c r="AR38">
        <v>172</v>
      </c>
      <c r="AS38">
        <v>419850</v>
      </c>
      <c r="AT38">
        <v>438525</v>
      </c>
      <c r="AU38">
        <v>-5.65</v>
      </c>
      <c r="AV38">
        <v>-5.65</v>
      </c>
      <c r="AW38">
        <v>-18675</v>
      </c>
      <c r="AX38">
        <v>-67.55</v>
      </c>
      <c r="AY38">
        <v>44325</v>
      </c>
      <c r="AZ38">
        <v>-127350</v>
      </c>
      <c r="BA38" t="s">
        <v>22</v>
      </c>
      <c r="BB38">
        <v>97350</v>
      </c>
      <c r="BC38" t="s">
        <v>22</v>
      </c>
      <c r="BD38">
        <v>67.05</v>
      </c>
      <c r="BE38">
        <v>61.1</v>
      </c>
      <c r="BF38">
        <v>73.099999999999994</v>
      </c>
      <c r="BG38">
        <v>58.2</v>
      </c>
      <c r="BH38">
        <v>84.54</v>
      </c>
      <c r="BI38" s="1">
        <v>45659.510416666664</v>
      </c>
      <c r="BJ38">
        <v>1735800300</v>
      </c>
      <c r="BK38">
        <v>14.4</v>
      </c>
      <c r="BL38">
        <v>14.44</v>
      </c>
      <c r="BM38">
        <v>14.37</v>
      </c>
      <c r="BN38">
        <v>14.4</v>
      </c>
      <c r="BO38">
        <v>0</v>
      </c>
      <c r="BP38">
        <f t="shared" si="0"/>
        <v>16.349999999998545</v>
      </c>
      <c r="BQ38">
        <f t="shared" si="1"/>
        <v>0</v>
      </c>
      <c r="BR38" t="e">
        <f t="shared" si="5"/>
        <v>#DIV/0!</v>
      </c>
      <c r="BT38">
        <f t="shared" si="4"/>
        <v>8.1564625850335137E-2</v>
      </c>
      <c r="BU38">
        <f t="shared" si="3"/>
        <v>-1</v>
      </c>
    </row>
    <row r="39" spans="1:73" hidden="1" x14ac:dyDescent="0.25">
      <c r="A39" s="1">
        <v>45659.513888888891</v>
      </c>
      <c r="B39">
        <v>3.8</v>
      </c>
      <c r="C39">
        <v>28700</v>
      </c>
      <c r="D39">
        <v>147</v>
      </c>
      <c r="E39">
        <v>41800</v>
      </c>
      <c r="F39">
        <v>67175</v>
      </c>
      <c r="G39">
        <v>7</v>
      </c>
      <c r="H39">
        <v>3.35</v>
      </c>
      <c r="I39">
        <v>-25375</v>
      </c>
      <c r="J39">
        <v>-463.8</v>
      </c>
      <c r="K39">
        <v>12900</v>
      </c>
      <c r="L39">
        <v>150</v>
      </c>
      <c r="M39" t="s">
        <v>21</v>
      </c>
      <c r="N39">
        <v>-2625</v>
      </c>
      <c r="O39" t="s">
        <v>22</v>
      </c>
      <c r="P39">
        <v>23985.42</v>
      </c>
      <c r="Q39">
        <v>24058.6</v>
      </c>
      <c r="R39">
        <v>24062.400000000001</v>
      </c>
      <c r="S39">
        <v>24063.75</v>
      </c>
      <c r="T39">
        <v>24052.3</v>
      </c>
      <c r="U39" s="1">
        <v>45659.513888888891</v>
      </c>
      <c r="V39">
        <v>8.6999999999999993</v>
      </c>
      <c r="W39">
        <v>2185050</v>
      </c>
      <c r="X39">
        <v>180</v>
      </c>
      <c r="Y39">
        <v>216375</v>
      </c>
      <c r="Z39">
        <v>243975</v>
      </c>
      <c r="AA39">
        <v>8.0500000000000007</v>
      </c>
      <c r="AB39">
        <v>8.0500000000000007</v>
      </c>
      <c r="AC39">
        <v>-27600</v>
      </c>
      <c r="AD39">
        <v>-100.95</v>
      </c>
      <c r="AE39">
        <v>41250</v>
      </c>
      <c r="AF39">
        <v>3600</v>
      </c>
      <c r="AG39" t="s">
        <v>20</v>
      </c>
      <c r="AH39">
        <v>-17625</v>
      </c>
      <c r="AI39" t="s">
        <v>20</v>
      </c>
      <c r="AJ39">
        <v>115.5</v>
      </c>
      <c r="AK39">
        <v>124.2</v>
      </c>
      <c r="AL39">
        <v>124.5</v>
      </c>
      <c r="AM39">
        <v>115.4</v>
      </c>
      <c r="AN39">
        <v>93.56</v>
      </c>
      <c r="AO39" s="1">
        <v>45659.513888888891</v>
      </c>
      <c r="AP39">
        <v>0.65</v>
      </c>
      <c r="AQ39">
        <v>3547725</v>
      </c>
      <c r="AR39">
        <v>180</v>
      </c>
      <c r="AS39">
        <v>631650</v>
      </c>
      <c r="AT39">
        <v>719625</v>
      </c>
      <c r="AU39">
        <v>1.05</v>
      </c>
      <c r="AV39">
        <v>1</v>
      </c>
      <c r="AW39">
        <v>-87975</v>
      </c>
      <c r="AX39">
        <v>-63.75</v>
      </c>
      <c r="AY39">
        <v>49425</v>
      </c>
      <c r="AZ39">
        <v>267300</v>
      </c>
      <c r="BA39" t="s">
        <v>21</v>
      </c>
      <c r="BB39">
        <v>62025</v>
      </c>
      <c r="BC39" t="s">
        <v>20</v>
      </c>
      <c r="BD39">
        <v>60.35</v>
      </c>
      <c r="BE39">
        <v>61</v>
      </c>
      <c r="BF39">
        <v>65.650000000000006</v>
      </c>
      <c r="BG39">
        <v>57.35</v>
      </c>
      <c r="BH39">
        <v>84.05</v>
      </c>
      <c r="BI39" s="1">
        <v>45659.513888888891</v>
      </c>
      <c r="BJ39">
        <v>1735800600</v>
      </c>
      <c r="BK39">
        <v>14.39</v>
      </c>
      <c r="BL39">
        <v>14.43</v>
      </c>
      <c r="BM39">
        <v>14.33</v>
      </c>
      <c r="BN39">
        <v>14.42</v>
      </c>
      <c r="BO39">
        <v>0</v>
      </c>
      <c r="BP39">
        <f t="shared" si="0"/>
        <v>3.8000000000029104</v>
      </c>
      <c r="BQ39">
        <f t="shared" si="1"/>
        <v>2.9999999999999361E-2</v>
      </c>
      <c r="BR39">
        <f t="shared" si="5"/>
        <v>1.266666666667664</v>
      </c>
      <c r="BT39" t="e">
        <f t="shared" si="4"/>
        <v>#DIV/0!</v>
      </c>
      <c r="BU39" t="e">
        <f t="shared" si="3"/>
        <v>#DIV/0!</v>
      </c>
    </row>
    <row r="40" spans="1:73" s="2" customFormat="1" hidden="1" x14ac:dyDescent="0.25">
      <c r="A40" s="1">
        <v>45659.517361111109</v>
      </c>
      <c r="B40">
        <v>56.65</v>
      </c>
      <c r="C40">
        <v>338200</v>
      </c>
      <c r="D40">
        <v>179</v>
      </c>
      <c r="E40">
        <v>52975</v>
      </c>
      <c r="F40">
        <v>150025</v>
      </c>
      <c r="G40">
        <v>53.35</v>
      </c>
      <c r="H40">
        <v>54.1</v>
      </c>
      <c r="I40">
        <v>-97050</v>
      </c>
      <c r="J40">
        <v>-675.2</v>
      </c>
      <c r="K40">
        <v>18900</v>
      </c>
      <c r="L40">
        <v>-650</v>
      </c>
      <c r="M40" t="s">
        <v>21</v>
      </c>
      <c r="N40">
        <v>-212875</v>
      </c>
      <c r="O40" t="s">
        <v>22</v>
      </c>
      <c r="P40">
        <v>23995.84</v>
      </c>
      <c r="Q40">
        <v>24062.35</v>
      </c>
      <c r="R40">
        <v>24119</v>
      </c>
      <c r="S40">
        <v>24119.8</v>
      </c>
      <c r="T40">
        <v>24062.35</v>
      </c>
      <c r="U40" s="1">
        <v>45659.517361111109</v>
      </c>
      <c r="V40">
        <v>51.3</v>
      </c>
      <c r="W40">
        <v>7978200</v>
      </c>
      <c r="X40">
        <v>180</v>
      </c>
      <c r="Y40">
        <v>169350</v>
      </c>
      <c r="Z40">
        <v>173700</v>
      </c>
      <c r="AA40">
        <v>51.7</v>
      </c>
      <c r="AB40">
        <v>51.9</v>
      </c>
      <c r="AC40">
        <v>-4350</v>
      </c>
      <c r="AD40">
        <v>-154.65</v>
      </c>
      <c r="AE40">
        <v>40725</v>
      </c>
      <c r="AF40">
        <v>-405000</v>
      </c>
      <c r="AG40" t="s">
        <v>21</v>
      </c>
      <c r="AH40">
        <v>-422400</v>
      </c>
      <c r="AI40" t="s">
        <v>22</v>
      </c>
      <c r="AJ40">
        <v>124.4</v>
      </c>
      <c r="AK40">
        <v>175.7</v>
      </c>
      <c r="AL40">
        <v>187.9</v>
      </c>
      <c r="AM40">
        <v>124.4</v>
      </c>
      <c r="AN40">
        <v>96.14</v>
      </c>
      <c r="AO40" s="1">
        <v>45659.517361111109</v>
      </c>
      <c r="AP40">
        <v>-11.55</v>
      </c>
      <c r="AQ40">
        <v>10043925</v>
      </c>
      <c r="AR40">
        <v>180</v>
      </c>
      <c r="AS40">
        <v>418500</v>
      </c>
      <c r="AT40">
        <v>439800</v>
      </c>
      <c r="AU40">
        <v>-11.75</v>
      </c>
      <c r="AV40">
        <v>-11.8</v>
      </c>
      <c r="AW40">
        <v>-21300</v>
      </c>
      <c r="AX40">
        <v>-56.45</v>
      </c>
      <c r="AY40">
        <v>53925</v>
      </c>
      <c r="AZ40">
        <v>109050</v>
      </c>
      <c r="BA40" t="s">
        <v>20</v>
      </c>
      <c r="BB40">
        <v>20325</v>
      </c>
      <c r="BC40" t="s">
        <v>20</v>
      </c>
      <c r="BD40">
        <v>60.75</v>
      </c>
      <c r="BE40">
        <v>49.2</v>
      </c>
      <c r="BF40">
        <v>60.95</v>
      </c>
      <c r="BG40">
        <v>46.85</v>
      </c>
      <c r="BH40">
        <v>82.22</v>
      </c>
      <c r="BI40" s="1">
        <v>45659.517361111109</v>
      </c>
      <c r="BJ40">
        <v>1735800900</v>
      </c>
      <c r="BK40">
        <v>14.43</v>
      </c>
      <c r="BL40">
        <v>14.56</v>
      </c>
      <c r="BM40">
        <v>14.33</v>
      </c>
      <c r="BN40">
        <v>14.49</v>
      </c>
      <c r="BO40">
        <v>0</v>
      </c>
      <c r="BP40" s="2">
        <f t="shared" si="0"/>
        <v>56.650000000001455</v>
      </c>
      <c r="BQ40" s="2">
        <f t="shared" si="1"/>
        <v>6.0000000000000497E-2</v>
      </c>
      <c r="BR40" s="2">
        <f t="shared" si="5"/>
        <v>9.4416666666668316</v>
      </c>
      <c r="BT40">
        <f t="shared" si="4"/>
        <v>0.44723684210492254</v>
      </c>
      <c r="BU40" s="2">
        <f t="shared" si="3"/>
        <v>-1</v>
      </c>
    </row>
    <row r="41" spans="1:73" hidden="1" x14ac:dyDescent="0.25">
      <c r="A41" s="1">
        <v>45659.520833333336</v>
      </c>
      <c r="B41">
        <v>22.2</v>
      </c>
      <c r="C41">
        <v>259400</v>
      </c>
      <c r="D41">
        <v>180</v>
      </c>
      <c r="E41">
        <v>52025</v>
      </c>
      <c r="F41">
        <v>247700</v>
      </c>
      <c r="G41">
        <v>20.05</v>
      </c>
      <c r="H41">
        <v>21</v>
      </c>
      <c r="I41">
        <v>-195675</v>
      </c>
      <c r="J41">
        <v>-815.3</v>
      </c>
      <c r="K41">
        <v>20250</v>
      </c>
      <c r="L41">
        <v>-13075</v>
      </c>
      <c r="M41" t="s">
        <v>21</v>
      </c>
      <c r="N41">
        <v>-31475</v>
      </c>
      <c r="O41" t="s">
        <v>21</v>
      </c>
      <c r="P41">
        <v>24005.24</v>
      </c>
      <c r="Q41">
        <v>24119</v>
      </c>
      <c r="R41">
        <v>24141.200000000001</v>
      </c>
      <c r="S41">
        <v>24159</v>
      </c>
      <c r="T41">
        <v>24117.1</v>
      </c>
      <c r="U41" s="1">
        <v>45659.520833333336</v>
      </c>
      <c r="V41">
        <v>14.65</v>
      </c>
      <c r="W41">
        <v>3892125</v>
      </c>
      <c r="X41">
        <v>180</v>
      </c>
      <c r="Y41">
        <v>150600</v>
      </c>
      <c r="Z41">
        <v>167250</v>
      </c>
      <c r="AA41">
        <v>15.1</v>
      </c>
      <c r="AB41">
        <v>14.95</v>
      </c>
      <c r="AC41">
        <v>-16650</v>
      </c>
      <c r="AD41">
        <v>-192.4</v>
      </c>
      <c r="AE41">
        <v>42225</v>
      </c>
      <c r="AF41">
        <v>-265575</v>
      </c>
      <c r="AG41" t="s">
        <v>22</v>
      </c>
      <c r="AH41">
        <v>-47400</v>
      </c>
      <c r="AI41" t="s">
        <v>21</v>
      </c>
      <c r="AJ41">
        <v>179.2</v>
      </c>
      <c r="AK41">
        <v>193.85</v>
      </c>
      <c r="AL41">
        <v>217.25</v>
      </c>
      <c r="AM41">
        <v>179.2</v>
      </c>
      <c r="AN41">
        <v>98.08</v>
      </c>
      <c r="AO41" s="1">
        <v>45659.520833333336</v>
      </c>
      <c r="AP41">
        <v>-5.2</v>
      </c>
      <c r="AQ41">
        <v>8047575</v>
      </c>
      <c r="AR41">
        <v>180</v>
      </c>
      <c r="AS41">
        <v>672975</v>
      </c>
      <c r="AT41">
        <v>588525</v>
      </c>
      <c r="AU41">
        <v>-4.8499999999999996</v>
      </c>
      <c r="AV41">
        <v>-4.8499999999999996</v>
      </c>
      <c r="AW41">
        <v>84450</v>
      </c>
      <c r="AX41">
        <v>-52.9</v>
      </c>
      <c r="AY41">
        <v>56925</v>
      </c>
      <c r="AZ41">
        <v>611400</v>
      </c>
      <c r="BA41" t="s">
        <v>21</v>
      </c>
      <c r="BB41">
        <v>-67725</v>
      </c>
      <c r="BC41" t="s">
        <v>21</v>
      </c>
      <c r="BD41">
        <v>48.7</v>
      </c>
      <c r="BE41">
        <v>43.5</v>
      </c>
      <c r="BF41">
        <v>49.6</v>
      </c>
      <c r="BG41">
        <v>36.950000000000003</v>
      </c>
      <c r="BH41">
        <v>80.5</v>
      </c>
      <c r="BI41" s="1">
        <v>45659.520833333336</v>
      </c>
      <c r="BJ41">
        <v>1735801200</v>
      </c>
      <c r="BK41">
        <v>14.5</v>
      </c>
      <c r="BL41">
        <v>14.6</v>
      </c>
      <c r="BM41">
        <v>14.47</v>
      </c>
      <c r="BN41">
        <v>14.55</v>
      </c>
      <c r="BO41">
        <v>0</v>
      </c>
      <c r="BP41">
        <f t="shared" si="0"/>
        <v>22.200000000000728</v>
      </c>
      <c r="BQ41">
        <f t="shared" si="1"/>
        <v>5.0000000000000711E-2</v>
      </c>
      <c r="BR41">
        <f t="shared" si="5"/>
        <v>4.4400000000000821</v>
      </c>
      <c r="BT41">
        <f t="shared" si="4"/>
        <v>2.3512797881730281E-2</v>
      </c>
      <c r="BU41">
        <f t="shared" si="3"/>
        <v>1</v>
      </c>
    </row>
    <row r="42" spans="1:73" x14ac:dyDescent="0.25">
      <c r="A42" s="1">
        <v>45659.524305555555</v>
      </c>
      <c r="B42">
        <v>4.4000000000000004</v>
      </c>
      <c r="C42">
        <v>112625</v>
      </c>
      <c r="D42">
        <v>179</v>
      </c>
      <c r="E42">
        <v>59425</v>
      </c>
      <c r="F42">
        <v>161375</v>
      </c>
      <c r="G42">
        <v>3.1</v>
      </c>
      <c r="H42">
        <v>2</v>
      </c>
      <c r="I42">
        <v>-101950</v>
      </c>
      <c r="J42">
        <v>-792.35</v>
      </c>
      <c r="K42">
        <v>18750</v>
      </c>
      <c r="L42">
        <v>-1650</v>
      </c>
      <c r="M42" t="s">
        <v>20</v>
      </c>
      <c r="N42">
        <v>23500</v>
      </c>
      <c r="O42" t="s">
        <v>21</v>
      </c>
      <c r="P42">
        <v>24009.03</v>
      </c>
      <c r="Q42">
        <v>24142.6</v>
      </c>
      <c r="R42">
        <v>24147</v>
      </c>
      <c r="S42">
        <v>24150</v>
      </c>
      <c r="T42">
        <v>24131</v>
      </c>
      <c r="U42" s="1">
        <v>45659.524305555555</v>
      </c>
      <c r="V42">
        <v>-0.1</v>
      </c>
      <c r="W42">
        <v>1355175</v>
      </c>
      <c r="X42">
        <v>180</v>
      </c>
      <c r="Y42">
        <v>119100</v>
      </c>
      <c r="Z42">
        <v>118275</v>
      </c>
      <c r="AA42">
        <v>0.35</v>
      </c>
      <c r="AB42">
        <v>0.45</v>
      </c>
      <c r="AC42">
        <v>825</v>
      </c>
      <c r="AD42">
        <v>-178.55</v>
      </c>
      <c r="AE42">
        <v>42000</v>
      </c>
      <c r="AF42">
        <v>-46425</v>
      </c>
      <c r="AG42" t="s">
        <v>22</v>
      </c>
      <c r="AH42">
        <v>24675</v>
      </c>
      <c r="AI42" t="s">
        <v>21</v>
      </c>
      <c r="AJ42">
        <v>196.6</v>
      </c>
      <c r="AK42">
        <v>196.5</v>
      </c>
      <c r="AL42">
        <v>202.3</v>
      </c>
      <c r="AM42">
        <v>183.35</v>
      </c>
      <c r="AN42">
        <v>98.7</v>
      </c>
      <c r="AO42" s="1">
        <v>45659.524305555555</v>
      </c>
      <c r="AP42">
        <v>-3.55</v>
      </c>
      <c r="AQ42">
        <v>4065375</v>
      </c>
      <c r="AR42">
        <v>180</v>
      </c>
      <c r="AS42">
        <v>538875</v>
      </c>
      <c r="AT42">
        <v>542400</v>
      </c>
      <c r="AU42">
        <v>-3.45</v>
      </c>
      <c r="AV42">
        <v>-3.4</v>
      </c>
      <c r="AW42">
        <v>-3525</v>
      </c>
      <c r="AX42">
        <v>-50</v>
      </c>
      <c r="AY42">
        <v>50400</v>
      </c>
      <c r="AZ42">
        <v>452475</v>
      </c>
      <c r="BA42" t="s">
        <v>20</v>
      </c>
      <c r="BB42">
        <v>12075</v>
      </c>
      <c r="BC42" t="s">
        <v>22</v>
      </c>
      <c r="BD42">
        <v>42.8</v>
      </c>
      <c r="BE42">
        <v>39.25</v>
      </c>
      <c r="BF42">
        <v>45.2</v>
      </c>
      <c r="BG42">
        <v>37</v>
      </c>
      <c r="BH42">
        <v>79.62</v>
      </c>
      <c r="BI42" s="1">
        <v>45659.524305555555</v>
      </c>
      <c r="BJ42">
        <v>1735801500</v>
      </c>
      <c r="BK42">
        <v>14.54</v>
      </c>
      <c r="BL42">
        <v>14.57</v>
      </c>
      <c r="BM42">
        <v>14.49</v>
      </c>
      <c r="BN42">
        <v>14.56</v>
      </c>
      <c r="BO42">
        <v>0</v>
      </c>
      <c r="BP42">
        <f t="shared" si="0"/>
        <v>4.4000000000014552</v>
      </c>
      <c r="BQ42">
        <f t="shared" si="1"/>
        <v>2.000000000000135E-2</v>
      </c>
      <c r="BR42">
        <f t="shared" si="5"/>
        <v>2.2000000000005793</v>
      </c>
      <c r="BT42">
        <f t="shared" si="4"/>
        <v>9.9099099099130041E-3</v>
      </c>
      <c r="BU42">
        <f t="shared" si="3"/>
        <v>1</v>
      </c>
    </row>
    <row r="43" spans="1:73" hidden="1" x14ac:dyDescent="0.25">
      <c r="A43" s="1">
        <v>45659.527777777781</v>
      </c>
      <c r="B43">
        <v>-2.75</v>
      </c>
      <c r="C43">
        <v>113675</v>
      </c>
      <c r="D43">
        <v>177</v>
      </c>
      <c r="E43">
        <v>70175</v>
      </c>
      <c r="F43">
        <v>96950</v>
      </c>
      <c r="G43">
        <v>-2.7</v>
      </c>
      <c r="H43">
        <v>-0.05</v>
      </c>
      <c r="I43">
        <v>-26775</v>
      </c>
      <c r="J43">
        <v>-853.55</v>
      </c>
      <c r="K43">
        <v>16725</v>
      </c>
      <c r="L43">
        <v>3775</v>
      </c>
      <c r="M43" t="s">
        <v>20</v>
      </c>
      <c r="N43">
        <v>15975</v>
      </c>
      <c r="O43" t="s">
        <v>20</v>
      </c>
      <c r="P43">
        <v>24013</v>
      </c>
      <c r="Q43">
        <v>24147.05</v>
      </c>
      <c r="R43">
        <v>24144.3</v>
      </c>
      <c r="S43">
        <v>24172.1</v>
      </c>
      <c r="T43">
        <v>24136.6</v>
      </c>
      <c r="U43" s="1">
        <v>45659.527777777781</v>
      </c>
      <c r="V43">
        <v>-1.4</v>
      </c>
      <c r="W43">
        <v>1519200</v>
      </c>
      <c r="X43">
        <v>180</v>
      </c>
      <c r="Y43">
        <v>159600</v>
      </c>
      <c r="Z43">
        <v>120150</v>
      </c>
      <c r="AA43">
        <v>-1.7</v>
      </c>
      <c r="AB43">
        <v>-1.65</v>
      </c>
      <c r="AC43">
        <v>39450</v>
      </c>
      <c r="AD43">
        <v>-178.35</v>
      </c>
      <c r="AE43">
        <v>40650</v>
      </c>
      <c r="AF43">
        <v>-274125</v>
      </c>
      <c r="AG43" t="s">
        <v>21</v>
      </c>
      <c r="AH43">
        <v>43650</v>
      </c>
      <c r="AI43" t="s">
        <v>20</v>
      </c>
      <c r="AJ43">
        <v>197.9</v>
      </c>
      <c r="AK43">
        <v>196.5</v>
      </c>
      <c r="AL43">
        <v>217.65</v>
      </c>
      <c r="AM43">
        <v>187.7</v>
      </c>
      <c r="AN43">
        <v>99.45</v>
      </c>
      <c r="AO43" s="1">
        <v>45659.527777777781</v>
      </c>
      <c r="AP43">
        <v>1</v>
      </c>
      <c r="AQ43">
        <v>4950975</v>
      </c>
      <c r="AR43">
        <v>180</v>
      </c>
      <c r="AS43">
        <v>513150</v>
      </c>
      <c r="AT43">
        <v>535950</v>
      </c>
      <c r="AU43">
        <v>0.9</v>
      </c>
      <c r="AV43">
        <v>0.85</v>
      </c>
      <c r="AW43">
        <v>-22800</v>
      </c>
      <c r="AX43">
        <v>-46.8</v>
      </c>
      <c r="AY43">
        <v>51900</v>
      </c>
      <c r="AZ43">
        <v>-36450</v>
      </c>
      <c r="BA43" t="s">
        <v>22</v>
      </c>
      <c r="BB43">
        <v>-151275</v>
      </c>
      <c r="BC43" t="s">
        <v>21</v>
      </c>
      <c r="BD43">
        <v>38.9</v>
      </c>
      <c r="BE43">
        <v>39.9</v>
      </c>
      <c r="BF43">
        <v>41.45</v>
      </c>
      <c r="BG43">
        <v>32.1</v>
      </c>
      <c r="BH43">
        <v>78.52</v>
      </c>
      <c r="BI43" s="1">
        <v>45659.527777777781</v>
      </c>
      <c r="BJ43">
        <v>1735801800</v>
      </c>
      <c r="BK43">
        <v>14.57</v>
      </c>
      <c r="BL43">
        <v>14.6</v>
      </c>
      <c r="BM43">
        <v>14.47</v>
      </c>
      <c r="BN43">
        <v>14.6</v>
      </c>
      <c r="BO43">
        <v>0</v>
      </c>
      <c r="BP43">
        <f t="shared" si="0"/>
        <v>2.75</v>
      </c>
      <c r="BQ43">
        <f t="shared" si="1"/>
        <v>2.9999999999999361E-2</v>
      </c>
      <c r="BR43">
        <f t="shared" si="5"/>
        <v>0.91666666666668617</v>
      </c>
      <c r="BT43">
        <f t="shared" si="4"/>
        <v>1.249999999999671E-2</v>
      </c>
      <c r="BU43">
        <f t="shared" si="3"/>
        <v>1</v>
      </c>
    </row>
    <row r="44" spans="1:73" s="2" customFormat="1" x14ac:dyDescent="0.25">
      <c r="A44" s="1">
        <v>45659.53125</v>
      </c>
      <c r="B44">
        <v>-1.05</v>
      </c>
      <c r="C44">
        <v>77775</v>
      </c>
      <c r="D44">
        <v>174</v>
      </c>
      <c r="E44">
        <v>29675</v>
      </c>
      <c r="F44">
        <v>180725</v>
      </c>
      <c r="G44">
        <v>-0.6</v>
      </c>
      <c r="H44">
        <v>0.2</v>
      </c>
      <c r="I44">
        <v>-151050</v>
      </c>
      <c r="J44">
        <v>-522.20000000000005</v>
      </c>
      <c r="K44">
        <v>16925</v>
      </c>
      <c r="L44">
        <v>8525</v>
      </c>
      <c r="M44" t="s">
        <v>20</v>
      </c>
      <c r="N44">
        <v>8400</v>
      </c>
      <c r="O44" t="s">
        <v>20</v>
      </c>
      <c r="P44">
        <v>24015.46</v>
      </c>
      <c r="Q44">
        <v>24146.95</v>
      </c>
      <c r="R44">
        <v>24145.9</v>
      </c>
      <c r="S44">
        <v>24155.15</v>
      </c>
      <c r="T44">
        <v>24136.799999999999</v>
      </c>
      <c r="U44" s="1">
        <v>45659.53125</v>
      </c>
      <c r="V44">
        <v>-6.1</v>
      </c>
      <c r="W44">
        <v>799725</v>
      </c>
      <c r="X44">
        <v>180</v>
      </c>
      <c r="Y44">
        <v>121575</v>
      </c>
      <c r="Z44">
        <v>173025</v>
      </c>
      <c r="AA44">
        <v>-5.55</v>
      </c>
      <c r="AB44">
        <v>-5.25</v>
      </c>
      <c r="AC44">
        <v>-51450</v>
      </c>
      <c r="AD44">
        <v>-164.6</v>
      </c>
      <c r="AE44">
        <v>41175</v>
      </c>
      <c r="AF44">
        <v>-43200</v>
      </c>
      <c r="AG44" t="s">
        <v>22</v>
      </c>
      <c r="AH44">
        <v>19125</v>
      </c>
      <c r="AI44" t="s">
        <v>20</v>
      </c>
      <c r="AJ44">
        <v>197</v>
      </c>
      <c r="AK44">
        <v>190.9</v>
      </c>
      <c r="AL44">
        <v>203.4</v>
      </c>
      <c r="AM44">
        <v>186.85</v>
      </c>
      <c r="AN44">
        <v>99.82</v>
      </c>
      <c r="AO44" s="1">
        <v>45659.53125</v>
      </c>
      <c r="AP44">
        <v>-3.15</v>
      </c>
      <c r="AQ44">
        <v>3175575</v>
      </c>
      <c r="AR44">
        <v>180</v>
      </c>
      <c r="AS44">
        <v>796125</v>
      </c>
      <c r="AT44">
        <v>698250</v>
      </c>
      <c r="AU44">
        <v>-3.05</v>
      </c>
      <c r="AV44">
        <v>-3.05</v>
      </c>
      <c r="AW44">
        <v>97875</v>
      </c>
      <c r="AX44">
        <v>-48</v>
      </c>
      <c r="AY44">
        <v>50475</v>
      </c>
      <c r="AZ44">
        <v>15825</v>
      </c>
      <c r="BA44" t="s">
        <v>21</v>
      </c>
      <c r="BB44">
        <v>63675</v>
      </c>
      <c r="BC44" t="s">
        <v>22</v>
      </c>
      <c r="BD44">
        <v>39.950000000000003</v>
      </c>
      <c r="BE44">
        <v>36.799999999999997</v>
      </c>
      <c r="BF44">
        <v>41.35</v>
      </c>
      <c r="BG44">
        <v>34.1</v>
      </c>
      <c r="BH44">
        <v>77.84</v>
      </c>
      <c r="BI44" s="1">
        <v>45659.53125</v>
      </c>
      <c r="BJ44">
        <v>1735802100</v>
      </c>
      <c r="BK44">
        <v>14.57</v>
      </c>
      <c r="BL44">
        <v>14.63</v>
      </c>
      <c r="BM44">
        <v>14.53</v>
      </c>
      <c r="BN44">
        <v>14.6</v>
      </c>
      <c r="BO44">
        <v>0</v>
      </c>
      <c r="BP44" s="2">
        <f t="shared" si="0"/>
        <v>1.0499999999992724</v>
      </c>
      <c r="BQ44" s="2">
        <f t="shared" si="1"/>
        <v>2.9999999999999361E-2</v>
      </c>
      <c r="BR44" s="2">
        <f t="shared" si="5"/>
        <v>0.34999999999976489</v>
      </c>
      <c r="BT44">
        <f t="shared" si="4"/>
        <v>1.1454545454537272E-2</v>
      </c>
      <c r="BU44" s="2">
        <f t="shared" si="3"/>
        <v>1</v>
      </c>
    </row>
    <row r="45" spans="1:73" hidden="1" x14ac:dyDescent="0.25">
      <c r="A45" s="1">
        <v>45659.534722222219</v>
      </c>
      <c r="B45">
        <v>20.05</v>
      </c>
      <c r="C45">
        <v>201325</v>
      </c>
      <c r="D45">
        <v>174</v>
      </c>
      <c r="E45">
        <v>2056650</v>
      </c>
      <c r="F45">
        <v>54000</v>
      </c>
      <c r="G45">
        <v>21.5</v>
      </c>
      <c r="H45">
        <v>19.55</v>
      </c>
      <c r="I45">
        <v>2002650</v>
      </c>
      <c r="J45">
        <v>-905.15</v>
      </c>
      <c r="K45">
        <v>16475</v>
      </c>
      <c r="L45">
        <v>12550</v>
      </c>
      <c r="M45" t="s">
        <v>20</v>
      </c>
      <c r="N45">
        <v>-11200</v>
      </c>
      <c r="O45" t="s">
        <v>22</v>
      </c>
      <c r="P45">
        <v>24022.240000000002</v>
      </c>
      <c r="Q45">
        <v>24145.9</v>
      </c>
      <c r="R45">
        <v>24165.95</v>
      </c>
      <c r="S45">
        <v>24178.45</v>
      </c>
      <c r="T45">
        <v>24136</v>
      </c>
      <c r="U45" s="1">
        <v>45659.534722222219</v>
      </c>
      <c r="V45">
        <v>12.85</v>
      </c>
      <c r="W45">
        <v>1131150</v>
      </c>
      <c r="X45">
        <v>180</v>
      </c>
      <c r="Y45">
        <v>177525</v>
      </c>
      <c r="Z45">
        <v>200100</v>
      </c>
      <c r="AA45">
        <v>11.6</v>
      </c>
      <c r="AB45">
        <v>11.65</v>
      </c>
      <c r="AC45">
        <v>-22575</v>
      </c>
      <c r="AD45">
        <v>-190.5</v>
      </c>
      <c r="AE45">
        <v>50700</v>
      </c>
      <c r="AF45">
        <v>-1917375</v>
      </c>
      <c r="AG45" t="s">
        <v>21</v>
      </c>
      <c r="AH45">
        <v>-19800</v>
      </c>
      <c r="AI45" t="s">
        <v>22</v>
      </c>
      <c r="AJ45">
        <v>191.55</v>
      </c>
      <c r="AK45">
        <v>204.4</v>
      </c>
      <c r="AL45">
        <v>211.25</v>
      </c>
      <c r="AM45">
        <v>183</v>
      </c>
      <c r="AN45">
        <v>100.34</v>
      </c>
      <c r="AO45" s="1">
        <v>45659.534722222219</v>
      </c>
      <c r="AP45">
        <v>-10.95</v>
      </c>
      <c r="AQ45">
        <v>6711900</v>
      </c>
      <c r="AR45">
        <v>180</v>
      </c>
      <c r="AS45">
        <v>717825</v>
      </c>
      <c r="AT45">
        <v>739275</v>
      </c>
      <c r="AU45">
        <v>-10.9</v>
      </c>
      <c r="AV45">
        <v>-10.9</v>
      </c>
      <c r="AW45">
        <v>-21450</v>
      </c>
      <c r="AX45">
        <v>-43.3</v>
      </c>
      <c r="AY45">
        <v>55350</v>
      </c>
      <c r="AZ45">
        <v>-87675</v>
      </c>
      <c r="BA45" t="s">
        <v>22</v>
      </c>
      <c r="BB45">
        <v>26250</v>
      </c>
      <c r="BC45" t="s">
        <v>20</v>
      </c>
      <c r="BD45">
        <v>36.65</v>
      </c>
      <c r="BE45">
        <v>25.7</v>
      </c>
      <c r="BF45">
        <v>38.950000000000003</v>
      </c>
      <c r="BG45">
        <v>24</v>
      </c>
      <c r="BH45">
        <v>76.25</v>
      </c>
      <c r="BI45" s="1">
        <v>45659.534722222219</v>
      </c>
      <c r="BJ45">
        <v>1735802400</v>
      </c>
      <c r="BK45">
        <v>14.59</v>
      </c>
      <c r="BL45">
        <v>14.59</v>
      </c>
      <c r="BM45">
        <v>14.49</v>
      </c>
      <c r="BN45">
        <v>14.52</v>
      </c>
      <c r="BO45">
        <v>0</v>
      </c>
      <c r="BP45">
        <f t="shared" si="0"/>
        <v>20.049999999999272</v>
      </c>
      <c r="BQ45">
        <f t="shared" si="1"/>
        <v>7.0000000000000284E-2</v>
      </c>
      <c r="BR45">
        <f t="shared" si="5"/>
        <v>2.8642857142855989</v>
      </c>
      <c r="BT45">
        <f t="shared" si="4"/>
        <v>0.57285714285750688</v>
      </c>
      <c r="BU45">
        <f t="shared" si="3"/>
        <v>-1</v>
      </c>
    </row>
    <row r="46" spans="1:73" hidden="1" x14ac:dyDescent="0.25">
      <c r="A46" s="1">
        <v>45659.538194444445</v>
      </c>
      <c r="B46">
        <v>-9.9</v>
      </c>
      <c r="C46">
        <v>100025</v>
      </c>
      <c r="D46">
        <v>176</v>
      </c>
      <c r="E46">
        <v>382825</v>
      </c>
      <c r="F46">
        <v>94825</v>
      </c>
      <c r="G46">
        <v>-9.35</v>
      </c>
      <c r="H46">
        <v>-6.6</v>
      </c>
      <c r="I46">
        <v>288000</v>
      </c>
      <c r="J46">
        <v>-741.25</v>
      </c>
      <c r="K46">
        <v>19625</v>
      </c>
      <c r="L46">
        <v>-400</v>
      </c>
      <c r="M46" t="s">
        <v>21</v>
      </c>
      <c r="N46">
        <v>12000</v>
      </c>
      <c r="O46" t="s">
        <v>21</v>
      </c>
      <c r="P46">
        <v>24025.18</v>
      </c>
      <c r="Q46">
        <v>24165.95</v>
      </c>
      <c r="R46">
        <v>24156.05</v>
      </c>
      <c r="S46">
        <v>24168.9</v>
      </c>
      <c r="T46">
        <v>24142.05</v>
      </c>
      <c r="U46" s="1">
        <v>45659.538194444445</v>
      </c>
      <c r="V46">
        <v>-18.399999999999999</v>
      </c>
      <c r="W46">
        <v>1349700</v>
      </c>
      <c r="X46">
        <v>180</v>
      </c>
      <c r="Y46">
        <v>175425</v>
      </c>
      <c r="Z46">
        <v>150300</v>
      </c>
      <c r="AA46">
        <v>-17.3</v>
      </c>
      <c r="AB46">
        <v>-17.350000000000001</v>
      </c>
      <c r="AC46">
        <v>25125</v>
      </c>
      <c r="AD46">
        <v>-177.75</v>
      </c>
      <c r="AE46">
        <v>48825</v>
      </c>
      <c r="AF46">
        <v>-120075</v>
      </c>
      <c r="AG46" t="s">
        <v>22</v>
      </c>
      <c r="AH46">
        <v>45225</v>
      </c>
      <c r="AI46" t="s">
        <v>21</v>
      </c>
      <c r="AJ46">
        <v>205.15</v>
      </c>
      <c r="AK46">
        <v>186.75</v>
      </c>
      <c r="AL46">
        <v>206.55</v>
      </c>
      <c r="AM46">
        <v>177.7</v>
      </c>
      <c r="AN46">
        <v>100.9</v>
      </c>
      <c r="AO46" s="1">
        <v>45659.538194444445</v>
      </c>
      <c r="AP46">
        <v>-3.1</v>
      </c>
      <c r="AQ46">
        <v>5938350</v>
      </c>
      <c r="AR46">
        <v>176</v>
      </c>
      <c r="AS46">
        <v>843375</v>
      </c>
      <c r="AT46">
        <v>954525</v>
      </c>
      <c r="AU46">
        <v>-2.95</v>
      </c>
      <c r="AV46">
        <v>-2.95</v>
      </c>
      <c r="AW46">
        <v>-111150</v>
      </c>
      <c r="AX46">
        <v>-36.4</v>
      </c>
      <c r="AY46">
        <v>57450</v>
      </c>
      <c r="AZ46">
        <v>271350</v>
      </c>
      <c r="BA46" t="s">
        <v>21</v>
      </c>
      <c r="BB46">
        <v>26475</v>
      </c>
      <c r="BC46" t="s">
        <v>20</v>
      </c>
      <c r="BD46">
        <v>25.7</v>
      </c>
      <c r="BE46">
        <v>22.6</v>
      </c>
      <c r="BF46">
        <v>29.6</v>
      </c>
      <c r="BG46">
        <v>20.3</v>
      </c>
      <c r="BH46">
        <v>74.78</v>
      </c>
      <c r="BI46" s="1">
        <v>45659.538194444445</v>
      </c>
      <c r="BJ46">
        <v>1735802700</v>
      </c>
      <c r="BK46">
        <v>14.52</v>
      </c>
      <c r="BL46">
        <v>14.55</v>
      </c>
      <c r="BM46">
        <v>14.44</v>
      </c>
      <c r="BN46">
        <v>14.45</v>
      </c>
      <c r="BO46">
        <v>0</v>
      </c>
      <c r="BP46">
        <f t="shared" si="0"/>
        <v>9.9000000000014552</v>
      </c>
      <c r="BQ46">
        <f t="shared" si="1"/>
        <v>7.0000000000000284E-2</v>
      </c>
      <c r="BR46">
        <f t="shared" si="5"/>
        <v>1.4142857142859164</v>
      </c>
      <c r="BT46">
        <f t="shared" si="4"/>
        <v>3.4563591022450366E-2</v>
      </c>
      <c r="BU46">
        <f t="shared" si="3"/>
        <v>1</v>
      </c>
    </row>
    <row r="47" spans="1:73" s="2" customFormat="1" x14ac:dyDescent="0.25">
      <c r="A47" s="1">
        <v>45659.541666666664</v>
      </c>
      <c r="B47">
        <v>5.95</v>
      </c>
      <c r="C47">
        <v>100800</v>
      </c>
      <c r="D47">
        <v>175</v>
      </c>
      <c r="E47">
        <v>59925</v>
      </c>
      <c r="F47">
        <v>78100</v>
      </c>
      <c r="G47">
        <v>5.85</v>
      </c>
      <c r="H47">
        <v>3.2</v>
      </c>
      <c r="I47">
        <v>-18175</v>
      </c>
      <c r="J47">
        <v>-876.7</v>
      </c>
      <c r="K47">
        <v>21875</v>
      </c>
      <c r="L47">
        <v>2475</v>
      </c>
      <c r="M47" t="s">
        <v>20</v>
      </c>
      <c r="N47">
        <v>-17575</v>
      </c>
      <c r="O47" t="s">
        <v>22</v>
      </c>
      <c r="P47">
        <v>24028.27</v>
      </c>
      <c r="Q47">
        <v>24156.05</v>
      </c>
      <c r="R47">
        <v>24162</v>
      </c>
      <c r="S47">
        <v>24185.95</v>
      </c>
      <c r="T47">
        <v>24145.15</v>
      </c>
      <c r="U47" s="1">
        <v>45659.541666666664</v>
      </c>
      <c r="V47">
        <v>-0.9</v>
      </c>
      <c r="W47">
        <v>1449300</v>
      </c>
      <c r="X47">
        <v>180</v>
      </c>
      <c r="Y47">
        <v>146250</v>
      </c>
      <c r="Z47">
        <v>135525</v>
      </c>
      <c r="AA47">
        <v>-1</v>
      </c>
      <c r="AB47">
        <v>-1.1499999999999999</v>
      </c>
      <c r="AC47">
        <v>10725</v>
      </c>
      <c r="AD47">
        <v>-182.2</v>
      </c>
      <c r="AE47">
        <v>46350</v>
      </c>
      <c r="AF47">
        <v>-249225</v>
      </c>
      <c r="AG47" t="s">
        <v>21</v>
      </c>
      <c r="AH47">
        <v>-13875</v>
      </c>
      <c r="AI47" t="s">
        <v>22</v>
      </c>
      <c r="AJ47">
        <v>187.55</v>
      </c>
      <c r="AK47">
        <v>186.65</v>
      </c>
      <c r="AL47">
        <v>207.65</v>
      </c>
      <c r="AM47">
        <v>171.95</v>
      </c>
      <c r="AN47">
        <v>101.5</v>
      </c>
      <c r="AO47" s="1">
        <v>45659.541666666664</v>
      </c>
      <c r="AP47">
        <v>-7</v>
      </c>
      <c r="AQ47">
        <v>10846350</v>
      </c>
      <c r="AR47">
        <v>180</v>
      </c>
      <c r="AS47">
        <v>1965075</v>
      </c>
      <c r="AT47">
        <v>1899975</v>
      </c>
      <c r="AU47">
        <v>-6.75</v>
      </c>
      <c r="AV47">
        <v>-6.75</v>
      </c>
      <c r="AW47">
        <v>65100</v>
      </c>
      <c r="AX47">
        <v>-31.55</v>
      </c>
      <c r="AY47">
        <v>70275</v>
      </c>
      <c r="AZ47">
        <v>4575</v>
      </c>
      <c r="BA47" t="s">
        <v>20</v>
      </c>
      <c r="BB47">
        <v>-16350</v>
      </c>
      <c r="BC47" t="s">
        <v>21</v>
      </c>
      <c r="BD47">
        <v>22.3</v>
      </c>
      <c r="BE47">
        <v>15.3</v>
      </c>
      <c r="BF47">
        <v>24.65</v>
      </c>
      <c r="BG47">
        <v>13.35</v>
      </c>
      <c r="BH47">
        <v>71.89</v>
      </c>
      <c r="BI47" s="1">
        <v>45659.541666666664</v>
      </c>
      <c r="BJ47">
        <v>1735803000</v>
      </c>
      <c r="BK47">
        <v>14.46</v>
      </c>
      <c r="BL47">
        <v>14.46</v>
      </c>
      <c r="BM47">
        <v>14.06</v>
      </c>
      <c r="BN47">
        <v>14.16</v>
      </c>
      <c r="BO47">
        <v>0</v>
      </c>
      <c r="BP47" s="2">
        <f t="shared" si="0"/>
        <v>5.9500000000007276</v>
      </c>
      <c r="BQ47" s="2">
        <f t="shared" si="1"/>
        <v>0.30000000000000071</v>
      </c>
      <c r="BR47" s="2">
        <f t="shared" si="5"/>
        <v>0.19833333333335712</v>
      </c>
      <c r="BT47">
        <f t="shared" si="4"/>
        <v>4.2070707070706204E-2</v>
      </c>
      <c r="BU47" s="2">
        <f t="shared" si="3"/>
        <v>1</v>
      </c>
    </row>
    <row r="48" spans="1:73" hidden="1" x14ac:dyDescent="0.25">
      <c r="A48" s="1">
        <v>45659.545138888891</v>
      </c>
      <c r="B48">
        <v>24.85</v>
      </c>
      <c r="C48">
        <v>84675</v>
      </c>
      <c r="D48">
        <v>173</v>
      </c>
      <c r="E48">
        <v>36200</v>
      </c>
      <c r="F48">
        <v>148425</v>
      </c>
      <c r="G48">
        <v>24.15</v>
      </c>
      <c r="H48">
        <v>23</v>
      </c>
      <c r="I48">
        <v>-112225</v>
      </c>
      <c r="J48">
        <v>-557.1</v>
      </c>
      <c r="K48">
        <v>16825</v>
      </c>
      <c r="L48">
        <v>5950</v>
      </c>
      <c r="M48" t="s">
        <v>20</v>
      </c>
      <c r="N48">
        <v>-2800</v>
      </c>
      <c r="O48" t="s">
        <v>20</v>
      </c>
      <c r="P48">
        <v>24030.93</v>
      </c>
      <c r="Q48">
        <v>24162</v>
      </c>
      <c r="R48">
        <v>24186.85</v>
      </c>
      <c r="S48">
        <v>24190</v>
      </c>
      <c r="T48">
        <v>24158.45</v>
      </c>
      <c r="U48" s="1">
        <v>45659.545138888891</v>
      </c>
      <c r="V48">
        <v>21.4</v>
      </c>
      <c r="W48">
        <v>1111575</v>
      </c>
      <c r="X48">
        <v>180</v>
      </c>
      <c r="Y48">
        <v>104925</v>
      </c>
      <c r="Z48">
        <v>123825</v>
      </c>
      <c r="AA48">
        <v>20.5</v>
      </c>
      <c r="AB48">
        <v>20.65</v>
      </c>
      <c r="AC48">
        <v>-18900</v>
      </c>
      <c r="AD48">
        <v>-193.75</v>
      </c>
      <c r="AE48">
        <v>41850</v>
      </c>
      <c r="AF48">
        <v>-65325</v>
      </c>
      <c r="AG48" t="s">
        <v>22</v>
      </c>
      <c r="AH48">
        <v>-63750</v>
      </c>
      <c r="AI48" t="s">
        <v>22</v>
      </c>
      <c r="AJ48">
        <v>187.8</v>
      </c>
      <c r="AK48">
        <v>209.2</v>
      </c>
      <c r="AL48">
        <v>217.9</v>
      </c>
      <c r="AM48">
        <v>180.6</v>
      </c>
      <c r="AN48">
        <v>102.01</v>
      </c>
      <c r="AO48" s="1">
        <v>45659.545138888891</v>
      </c>
      <c r="AP48">
        <v>-3.9</v>
      </c>
      <c r="AQ48">
        <v>6862650</v>
      </c>
      <c r="AR48">
        <v>179</v>
      </c>
      <c r="AS48">
        <v>3116475</v>
      </c>
      <c r="AT48">
        <v>2964525</v>
      </c>
      <c r="AU48">
        <v>-3.9</v>
      </c>
      <c r="AV48">
        <v>-3.95</v>
      </c>
      <c r="AW48">
        <v>151950</v>
      </c>
      <c r="AX48">
        <v>-30.5</v>
      </c>
      <c r="AY48">
        <v>88425</v>
      </c>
      <c r="AZ48">
        <v>352875</v>
      </c>
      <c r="BA48" t="s">
        <v>21</v>
      </c>
      <c r="BB48">
        <v>84225</v>
      </c>
      <c r="BC48" t="s">
        <v>22</v>
      </c>
      <c r="BD48">
        <v>15.25</v>
      </c>
      <c r="BE48">
        <v>11.35</v>
      </c>
      <c r="BF48">
        <v>15.9</v>
      </c>
      <c r="BG48">
        <v>11.25</v>
      </c>
      <c r="BH48">
        <v>70.11</v>
      </c>
      <c r="BI48" s="1">
        <v>45659.545138888891</v>
      </c>
      <c r="BJ48">
        <v>1735803300</v>
      </c>
      <c r="BK48">
        <v>14.15</v>
      </c>
      <c r="BL48">
        <v>14.15</v>
      </c>
      <c r="BM48">
        <v>14.07</v>
      </c>
      <c r="BN48">
        <v>14.1</v>
      </c>
      <c r="BO48">
        <v>0</v>
      </c>
      <c r="BP48">
        <f t="shared" si="0"/>
        <v>24.849999999998545</v>
      </c>
      <c r="BQ48">
        <f t="shared" si="1"/>
        <v>5.0000000000000711E-2</v>
      </c>
      <c r="BR48">
        <f t="shared" si="5"/>
        <v>4.9699999999996383</v>
      </c>
      <c r="BT48">
        <f t="shared" si="4"/>
        <v>1.2529411764703646</v>
      </c>
      <c r="BU48">
        <f t="shared" si="3"/>
        <v>-1</v>
      </c>
    </row>
    <row r="49" spans="1:73" hidden="1" x14ac:dyDescent="0.25">
      <c r="A49" s="1">
        <v>45659.548611111109</v>
      </c>
      <c r="B49">
        <v>-6.85</v>
      </c>
      <c r="C49">
        <v>91350</v>
      </c>
      <c r="D49">
        <v>169</v>
      </c>
      <c r="E49">
        <v>48275</v>
      </c>
      <c r="F49">
        <v>207600</v>
      </c>
      <c r="G49">
        <v>-7.05</v>
      </c>
      <c r="H49">
        <v>-6.85</v>
      </c>
      <c r="I49">
        <v>-159325</v>
      </c>
      <c r="J49">
        <v>-600.35</v>
      </c>
      <c r="K49">
        <v>15875</v>
      </c>
      <c r="L49">
        <v>-1625</v>
      </c>
      <c r="M49" t="s">
        <v>21</v>
      </c>
      <c r="N49">
        <v>7075</v>
      </c>
      <c r="O49" t="s">
        <v>20</v>
      </c>
      <c r="P49">
        <v>24033.79</v>
      </c>
      <c r="Q49">
        <v>24186.85</v>
      </c>
      <c r="R49">
        <v>24180</v>
      </c>
      <c r="S49">
        <v>24189</v>
      </c>
      <c r="T49">
        <v>24174.799999999999</v>
      </c>
      <c r="U49" s="1">
        <v>45659.548611111109</v>
      </c>
      <c r="V49">
        <v>-6.05</v>
      </c>
      <c r="W49">
        <v>838875</v>
      </c>
      <c r="X49">
        <v>179</v>
      </c>
      <c r="Y49">
        <v>168900</v>
      </c>
      <c r="Z49">
        <v>120000</v>
      </c>
      <c r="AA49">
        <v>-6.55</v>
      </c>
      <c r="AB49">
        <v>-6.75</v>
      </c>
      <c r="AC49">
        <v>48900</v>
      </c>
      <c r="AD49">
        <v>-191.4</v>
      </c>
      <c r="AE49">
        <v>45150</v>
      </c>
      <c r="AF49">
        <v>-5325</v>
      </c>
      <c r="AG49" t="s">
        <v>22</v>
      </c>
      <c r="AH49">
        <v>3900</v>
      </c>
      <c r="AI49" t="s">
        <v>21</v>
      </c>
      <c r="AJ49">
        <v>208.4</v>
      </c>
      <c r="AK49">
        <v>202.35</v>
      </c>
      <c r="AL49">
        <v>212.85</v>
      </c>
      <c r="AM49">
        <v>200.25</v>
      </c>
      <c r="AN49">
        <v>102.41</v>
      </c>
      <c r="AO49" s="1">
        <v>45659.548611111109</v>
      </c>
      <c r="AP49">
        <v>-0.35</v>
      </c>
      <c r="AQ49">
        <v>4412250</v>
      </c>
      <c r="AR49">
        <v>180</v>
      </c>
      <c r="AS49">
        <v>5622825</v>
      </c>
      <c r="AT49">
        <v>4617825</v>
      </c>
      <c r="AU49">
        <v>-0.45</v>
      </c>
      <c r="AV49">
        <v>-0.45</v>
      </c>
      <c r="AW49">
        <v>1005000</v>
      </c>
      <c r="AX49">
        <v>-29.15</v>
      </c>
      <c r="AY49">
        <v>88875</v>
      </c>
      <c r="AZ49">
        <v>26400</v>
      </c>
      <c r="BA49" t="s">
        <v>20</v>
      </c>
      <c r="BB49">
        <v>-23475</v>
      </c>
      <c r="BC49" t="s">
        <v>21</v>
      </c>
      <c r="BD49">
        <v>11.3</v>
      </c>
      <c r="BE49">
        <v>10.95</v>
      </c>
      <c r="BF49">
        <v>13.35</v>
      </c>
      <c r="BG49">
        <v>10.85</v>
      </c>
      <c r="BH49">
        <v>68.989999999999995</v>
      </c>
      <c r="BI49" s="1">
        <v>45659.548611111109</v>
      </c>
      <c r="BJ49">
        <v>1735803600</v>
      </c>
      <c r="BK49">
        <v>14.1</v>
      </c>
      <c r="BL49">
        <v>14.14</v>
      </c>
      <c r="BM49">
        <v>14.09</v>
      </c>
      <c r="BN49">
        <v>14.12</v>
      </c>
      <c r="BO49">
        <v>0</v>
      </c>
      <c r="BP49">
        <f t="shared" si="0"/>
        <v>6.8499999999985448</v>
      </c>
      <c r="BQ49">
        <f t="shared" si="1"/>
        <v>1.9999999999999574E-2</v>
      </c>
      <c r="BR49">
        <f t="shared" si="5"/>
        <v>3.4249999999993452</v>
      </c>
      <c r="BT49">
        <f t="shared" si="4"/>
        <v>1.378269617706045E-2</v>
      </c>
      <c r="BU49">
        <f t="shared" si="3"/>
        <v>1</v>
      </c>
    </row>
    <row r="50" spans="1:73" hidden="1" x14ac:dyDescent="0.25">
      <c r="A50" s="1">
        <v>45659.552083333336</v>
      </c>
      <c r="B50">
        <v>18.649999999999999</v>
      </c>
      <c r="C50">
        <v>157250</v>
      </c>
      <c r="D50">
        <v>178</v>
      </c>
      <c r="E50">
        <v>37425</v>
      </c>
      <c r="F50">
        <v>221300</v>
      </c>
      <c r="G50">
        <v>22.7</v>
      </c>
      <c r="H50">
        <v>20.6</v>
      </c>
      <c r="I50">
        <v>-183875</v>
      </c>
      <c r="J50">
        <v>-671.7</v>
      </c>
      <c r="K50">
        <v>21525</v>
      </c>
      <c r="L50">
        <v>-3125</v>
      </c>
      <c r="M50" t="s">
        <v>21</v>
      </c>
      <c r="N50">
        <v>-30500</v>
      </c>
      <c r="O50" t="s">
        <v>22</v>
      </c>
      <c r="P50">
        <v>24038.86</v>
      </c>
      <c r="Q50">
        <v>24183.05</v>
      </c>
      <c r="R50">
        <v>24201.7</v>
      </c>
      <c r="S50">
        <v>24207.05</v>
      </c>
      <c r="T50">
        <v>24173.7</v>
      </c>
      <c r="U50" s="1">
        <v>45659.552083333336</v>
      </c>
      <c r="V50">
        <v>19.05</v>
      </c>
      <c r="W50">
        <v>1111125</v>
      </c>
      <c r="X50">
        <v>181</v>
      </c>
      <c r="Y50">
        <v>117825</v>
      </c>
      <c r="Z50">
        <v>106275</v>
      </c>
      <c r="AA50">
        <v>18.3</v>
      </c>
      <c r="AB50">
        <v>18.5</v>
      </c>
      <c r="AC50">
        <v>11550</v>
      </c>
      <c r="AD50">
        <v>-207</v>
      </c>
      <c r="AE50">
        <v>42150</v>
      </c>
      <c r="AF50">
        <v>-328125</v>
      </c>
      <c r="AG50" t="s">
        <v>21</v>
      </c>
      <c r="AH50">
        <v>-26775</v>
      </c>
      <c r="AI50" t="s">
        <v>22</v>
      </c>
      <c r="AJ50">
        <v>202.1</v>
      </c>
      <c r="AK50">
        <v>221.15</v>
      </c>
      <c r="AL50">
        <v>229.05</v>
      </c>
      <c r="AM50">
        <v>196.55</v>
      </c>
      <c r="AN50">
        <v>102.98</v>
      </c>
      <c r="AO50" s="1">
        <v>45659.552083333336</v>
      </c>
      <c r="AP50">
        <v>-2.9</v>
      </c>
      <c r="AQ50">
        <v>9519975</v>
      </c>
      <c r="AR50">
        <v>180</v>
      </c>
      <c r="AS50">
        <v>7431750</v>
      </c>
      <c r="AT50">
        <v>7218375</v>
      </c>
      <c r="AU50">
        <v>-3</v>
      </c>
      <c r="AV50">
        <v>-3</v>
      </c>
      <c r="AW50">
        <v>213375</v>
      </c>
      <c r="AX50">
        <v>-22.4</v>
      </c>
      <c r="AY50">
        <v>113400</v>
      </c>
      <c r="AZ50">
        <v>-55200</v>
      </c>
      <c r="BA50" t="s">
        <v>22</v>
      </c>
      <c r="BB50">
        <v>77475</v>
      </c>
      <c r="BC50" t="s">
        <v>22</v>
      </c>
      <c r="BD50">
        <v>11.05</v>
      </c>
      <c r="BE50">
        <v>8.15</v>
      </c>
      <c r="BF50">
        <v>12</v>
      </c>
      <c r="BG50">
        <v>7.6</v>
      </c>
      <c r="BH50">
        <v>66.62</v>
      </c>
      <c r="BI50" s="1">
        <v>45659.552083333336</v>
      </c>
      <c r="BJ50">
        <v>1735803900</v>
      </c>
      <c r="BK50">
        <v>14.12</v>
      </c>
      <c r="BL50">
        <v>14.17</v>
      </c>
      <c r="BM50">
        <v>14.07</v>
      </c>
      <c r="BN50">
        <v>14.1</v>
      </c>
      <c r="BO50">
        <v>0</v>
      </c>
      <c r="BP50">
        <f t="shared" si="0"/>
        <v>18.650000000001455</v>
      </c>
      <c r="BQ50">
        <f t="shared" si="1"/>
        <v>1.9999999999999574E-2</v>
      </c>
      <c r="BR50">
        <f t="shared" si="5"/>
        <v>9.3250000000009265</v>
      </c>
      <c r="BT50">
        <f t="shared" si="4"/>
        <v>5.4452554744540207E-2</v>
      </c>
      <c r="BU50">
        <f t="shared" si="3"/>
        <v>-1</v>
      </c>
    </row>
    <row r="51" spans="1:73" hidden="1" x14ac:dyDescent="0.25">
      <c r="A51" s="1">
        <v>45659.555555555555</v>
      </c>
      <c r="B51">
        <v>5.25</v>
      </c>
      <c r="C51">
        <v>114900</v>
      </c>
      <c r="D51">
        <v>180</v>
      </c>
      <c r="E51">
        <v>42675</v>
      </c>
      <c r="F51">
        <v>172150</v>
      </c>
      <c r="G51">
        <v>4</v>
      </c>
      <c r="H51">
        <v>3</v>
      </c>
      <c r="I51">
        <v>-129475</v>
      </c>
      <c r="J51">
        <v>-553.5</v>
      </c>
      <c r="K51">
        <v>19200</v>
      </c>
      <c r="L51">
        <v>7000</v>
      </c>
      <c r="M51" t="s">
        <v>20</v>
      </c>
      <c r="N51">
        <v>-6000</v>
      </c>
      <c r="O51" t="s">
        <v>21</v>
      </c>
      <c r="P51">
        <v>24042.58</v>
      </c>
      <c r="Q51">
        <v>24201.7</v>
      </c>
      <c r="R51">
        <v>24206.95</v>
      </c>
      <c r="S51">
        <v>24213</v>
      </c>
      <c r="T51">
        <v>24194.400000000001</v>
      </c>
      <c r="U51" s="1">
        <v>45659.555555555555</v>
      </c>
      <c r="V51">
        <v>8.0500000000000007</v>
      </c>
      <c r="W51">
        <v>709575</v>
      </c>
      <c r="X51">
        <v>179</v>
      </c>
      <c r="Y51">
        <v>112500</v>
      </c>
      <c r="Z51">
        <v>118500</v>
      </c>
      <c r="AA51">
        <v>6.7</v>
      </c>
      <c r="AB51">
        <v>6.3</v>
      </c>
      <c r="AC51">
        <v>-6000</v>
      </c>
      <c r="AD51">
        <v>-216.65</v>
      </c>
      <c r="AE51">
        <v>42300</v>
      </c>
      <c r="AF51">
        <v>-112350</v>
      </c>
      <c r="AG51" t="s">
        <v>22</v>
      </c>
      <c r="AH51">
        <v>-10875</v>
      </c>
      <c r="AI51" t="s">
        <v>20</v>
      </c>
      <c r="AJ51">
        <v>219.9</v>
      </c>
      <c r="AK51">
        <v>227.95</v>
      </c>
      <c r="AL51">
        <v>234.3</v>
      </c>
      <c r="AM51">
        <v>215.1</v>
      </c>
      <c r="AN51">
        <v>103.38</v>
      </c>
      <c r="AO51" s="1">
        <v>45659.555555555555</v>
      </c>
      <c r="AP51">
        <v>-0.65</v>
      </c>
      <c r="AQ51">
        <v>8180100</v>
      </c>
      <c r="AR51">
        <v>180</v>
      </c>
      <c r="AS51">
        <v>8672400</v>
      </c>
      <c r="AT51">
        <v>9354225</v>
      </c>
      <c r="AU51">
        <v>-0.7</v>
      </c>
      <c r="AV51">
        <v>-0.7</v>
      </c>
      <c r="AW51">
        <v>-681825</v>
      </c>
      <c r="AX51">
        <v>-20.85</v>
      </c>
      <c r="AY51">
        <v>111600</v>
      </c>
      <c r="AZ51">
        <v>244725</v>
      </c>
      <c r="BA51" t="s">
        <v>21</v>
      </c>
      <c r="BB51">
        <v>-150450</v>
      </c>
      <c r="BC51" t="s">
        <v>21</v>
      </c>
      <c r="BD51">
        <v>8.1</v>
      </c>
      <c r="BE51">
        <v>7.45</v>
      </c>
      <c r="BF51">
        <v>8.9</v>
      </c>
      <c r="BG51">
        <v>6.65</v>
      </c>
      <c r="BH51">
        <v>64.650000000000006</v>
      </c>
      <c r="BI51" s="1">
        <v>45659.555555555555</v>
      </c>
      <c r="BJ51">
        <v>1735804200</v>
      </c>
      <c r="BK51">
        <v>14.09</v>
      </c>
      <c r="BL51">
        <v>14.11</v>
      </c>
      <c r="BM51">
        <v>14.05</v>
      </c>
      <c r="BN51">
        <v>14.08</v>
      </c>
      <c r="BO51">
        <v>0</v>
      </c>
      <c r="BP51">
        <f t="shared" si="0"/>
        <v>5.25</v>
      </c>
      <c r="BQ51">
        <f t="shared" si="1"/>
        <v>9.9999999999997868E-3</v>
      </c>
      <c r="BR51">
        <f t="shared" si="5"/>
        <v>5.2500000000001119</v>
      </c>
      <c r="BT51">
        <f t="shared" si="4"/>
        <v>5.6300268096509155E-3</v>
      </c>
      <c r="BU51">
        <f t="shared" si="3"/>
        <v>1</v>
      </c>
    </row>
    <row r="52" spans="1:73" hidden="1" x14ac:dyDescent="0.25">
      <c r="A52" s="1">
        <v>45659.559027777781</v>
      </c>
      <c r="B52">
        <v>-16.899999999999999</v>
      </c>
      <c r="C52">
        <v>106650</v>
      </c>
      <c r="D52">
        <v>180</v>
      </c>
      <c r="E52">
        <v>37475</v>
      </c>
      <c r="F52">
        <v>187650</v>
      </c>
      <c r="G52">
        <v>-16.399999999999999</v>
      </c>
      <c r="H52">
        <v>-14.9</v>
      </c>
      <c r="I52">
        <v>-150175</v>
      </c>
      <c r="J52">
        <v>-641.9</v>
      </c>
      <c r="K52">
        <v>18150</v>
      </c>
      <c r="L52">
        <v>3000</v>
      </c>
      <c r="M52" t="s">
        <v>20</v>
      </c>
      <c r="N52">
        <v>-1100</v>
      </c>
      <c r="O52" t="s">
        <v>20</v>
      </c>
      <c r="P52">
        <v>24045.91</v>
      </c>
      <c r="Q52">
        <v>24206.9</v>
      </c>
      <c r="R52">
        <v>24190</v>
      </c>
      <c r="S52">
        <v>24214.1</v>
      </c>
      <c r="T52">
        <v>24186.05</v>
      </c>
      <c r="U52" s="1">
        <v>45659.559027777781</v>
      </c>
      <c r="V52">
        <v>-17.5</v>
      </c>
      <c r="W52">
        <v>914550</v>
      </c>
      <c r="X52">
        <v>180</v>
      </c>
      <c r="Y52">
        <v>134250</v>
      </c>
      <c r="Z52">
        <v>118650</v>
      </c>
      <c r="AA52">
        <v>-17.149999999999999</v>
      </c>
      <c r="AB52">
        <v>-17.25</v>
      </c>
      <c r="AC52">
        <v>15600</v>
      </c>
      <c r="AD52">
        <v>-212.6</v>
      </c>
      <c r="AE52">
        <v>45675</v>
      </c>
      <c r="AF52">
        <v>-141150</v>
      </c>
      <c r="AG52" t="s">
        <v>21</v>
      </c>
      <c r="AH52">
        <v>3675</v>
      </c>
      <c r="AI52" t="s">
        <v>20</v>
      </c>
      <c r="AJ52">
        <v>228.5</v>
      </c>
      <c r="AK52">
        <v>211</v>
      </c>
      <c r="AL52">
        <v>240.4</v>
      </c>
      <c r="AM52">
        <v>206.75</v>
      </c>
      <c r="AN52">
        <v>103.89</v>
      </c>
      <c r="AO52" s="1">
        <v>45659.559027777781</v>
      </c>
      <c r="AP52">
        <v>0.45</v>
      </c>
      <c r="AQ52">
        <v>11311800</v>
      </c>
      <c r="AR52">
        <v>179</v>
      </c>
      <c r="AS52">
        <v>9450300</v>
      </c>
      <c r="AT52">
        <v>9528375</v>
      </c>
      <c r="AU52">
        <v>0.3</v>
      </c>
      <c r="AV52">
        <v>0.3</v>
      </c>
      <c r="AW52">
        <v>-78075</v>
      </c>
      <c r="AX52">
        <v>-19.600000000000001</v>
      </c>
      <c r="AY52">
        <v>95325</v>
      </c>
      <c r="AZ52">
        <v>32625</v>
      </c>
      <c r="BA52" t="s">
        <v>20</v>
      </c>
      <c r="BB52">
        <v>-140325</v>
      </c>
      <c r="BC52" t="s">
        <v>20</v>
      </c>
      <c r="BD52">
        <v>7.35</v>
      </c>
      <c r="BE52">
        <v>7.8</v>
      </c>
      <c r="BF52">
        <v>8.5</v>
      </c>
      <c r="BG52">
        <v>6</v>
      </c>
      <c r="BH52">
        <v>62.11</v>
      </c>
      <c r="BI52" s="1">
        <v>45659.559027777781</v>
      </c>
      <c r="BJ52">
        <v>1735804500</v>
      </c>
      <c r="BK52">
        <v>14.07</v>
      </c>
      <c r="BL52">
        <v>14.16</v>
      </c>
      <c r="BM52">
        <v>14.02</v>
      </c>
      <c r="BN52">
        <v>14.15</v>
      </c>
      <c r="BO52">
        <v>0</v>
      </c>
      <c r="BP52">
        <f t="shared" si="0"/>
        <v>16.900000000001455</v>
      </c>
      <c r="BQ52">
        <f t="shared" si="1"/>
        <v>8.0000000000000071E-2</v>
      </c>
      <c r="BR52">
        <f t="shared" si="5"/>
        <v>2.1125000000001801</v>
      </c>
      <c r="BT52">
        <f t="shared" si="4"/>
        <v>3.2190476190478275E-2</v>
      </c>
      <c r="BU52">
        <f t="shared" si="3"/>
        <v>1</v>
      </c>
    </row>
    <row r="53" spans="1:73" s="2" customFormat="1" hidden="1" x14ac:dyDescent="0.25">
      <c r="A53" s="1">
        <v>45659.5625</v>
      </c>
      <c r="B53">
        <v>13</v>
      </c>
      <c r="C53">
        <v>89000</v>
      </c>
      <c r="D53">
        <v>180</v>
      </c>
      <c r="E53">
        <v>61950</v>
      </c>
      <c r="F53">
        <v>96200</v>
      </c>
      <c r="G53">
        <v>9.9499999999999993</v>
      </c>
      <c r="H53">
        <v>11</v>
      </c>
      <c r="I53">
        <v>-34250</v>
      </c>
      <c r="J53">
        <v>-727.6</v>
      </c>
      <c r="K53">
        <v>17375</v>
      </c>
      <c r="L53">
        <v>6300</v>
      </c>
      <c r="M53" t="s">
        <v>20</v>
      </c>
      <c r="N53">
        <v>-3100</v>
      </c>
      <c r="O53" t="s">
        <v>22</v>
      </c>
      <c r="P53">
        <v>24048.35</v>
      </c>
      <c r="Q53">
        <v>24190</v>
      </c>
      <c r="R53">
        <v>24203</v>
      </c>
      <c r="S53">
        <v>24205</v>
      </c>
      <c r="T53">
        <v>24176.400000000001</v>
      </c>
      <c r="U53" s="1">
        <v>45659.5625</v>
      </c>
      <c r="V53">
        <v>12.5</v>
      </c>
      <c r="W53">
        <v>687450</v>
      </c>
      <c r="X53">
        <v>180</v>
      </c>
      <c r="Y53">
        <v>133500</v>
      </c>
      <c r="Z53">
        <v>127275</v>
      </c>
      <c r="AA53">
        <v>12.8</v>
      </c>
      <c r="AB53">
        <v>12.8</v>
      </c>
      <c r="AC53">
        <v>6225</v>
      </c>
      <c r="AD53">
        <v>-207.65</v>
      </c>
      <c r="AE53">
        <v>47775</v>
      </c>
      <c r="AF53">
        <v>7425</v>
      </c>
      <c r="AG53" t="s">
        <v>22</v>
      </c>
      <c r="AH53">
        <v>-16500</v>
      </c>
      <c r="AI53" t="s">
        <v>22</v>
      </c>
      <c r="AJ53">
        <v>212.5</v>
      </c>
      <c r="AK53">
        <v>225</v>
      </c>
      <c r="AL53">
        <v>227.65</v>
      </c>
      <c r="AM53">
        <v>201.1</v>
      </c>
      <c r="AN53">
        <v>104.24</v>
      </c>
      <c r="AO53" s="1">
        <v>45659.5625</v>
      </c>
      <c r="AP53">
        <v>-2.1</v>
      </c>
      <c r="AQ53">
        <v>10778250</v>
      </c>
      <c r="AR53">
        <v>180</v>
      </c>
      <c r="AS53">
        <v>9163125</v>
      </c>
      <c r="AT53">
        <v>9497925</v>
      </c>
      <c r="AU53">
        <v>-1.95</v>
      </c>
      <c r="AV53">
        <v>-1.95</v>
      </c>
      <c r="AW53">
        <v>-334800</v>
      </c>
      <c r="AX53">
        <v>-22.8</v>
      </c>
      <c r="AY53">
        <v>111075</v>
      </c>
      <c r="AZ53">
        <v>-237750</v>
      </c>
      <c r="BA53" t="s">
        <v>22</v>
      </c>
      <c r="BB53">
        <v>363900</v>
      </c>
      <c r="BC53" t="s">
        <v>22</v>
      </c>
      <c r="BD53">
        <v>7.8</v>
      </c>
      <c r="BE53">
        <v>5.7</v>
      </c>
      <c r="BF53">
        <v>8.9</v>
      </c>
      <c r="BG53">
        <v>5.55</v>
      </c>
      <c r="BH53">
        <v>59.91</v>
      </c>
      <c r="BI53" s="1">
        <v>45659.5625</v>
      </c>
      <c r="BJ53">
        <v>1735804800</v>
      </c>
      <c r="BK53">
        <v>14.15</v>
      </c>
      <c r="BL53">
        <v>14.17</v>
      </c>
      <c r="BM53">
        <v>14.06</v>
      </c>
      <c r="BN53">
        <v>14.08</v>
      </c>
      <c r="BO53">
        <v>0</v>
      </c>
      <c r="BP53" s="2">
        <f t="shared" si="0"/>
        <v>13</v>
      </c>
      <c r="BQ53" s="2">
        <f t="shared" si="1"/>
        <v>7.0000000000000284E-2</v>
      </c>
      <c r="BR53" s="2">
        <f t="shared" si="5"/>
        <v>1.8571428571428497</v>
      </c>
      <c r="BT53">
        <f t="shared" si="4"/>
        <v>6.1538461538456296E-2</v>
      </c>
      <c r="BU53" s="2">
        <f t="shared" si="3"/>
        <v>1</v>
      </c>
    </row>
    <row r="54" spans="1:73" hidden="1" x14ac:dyDescent="0.25">
      <c r="A54" s="1">
        <v>45659.565972222219</v>
      </c>
      <c r="B54">
        <v>22.35</v>
      </c>
      <c r="C54">
        <v>181450</v>
      </c>
      <c r="D54">
        <v>177</v>
      </c>
      <c r="E54">
        <v>29600</v>
      </c>
      <c r="F54">
        <v>236550</v>
      </c>
      <c r="G54">
        <v>21.95</v>
      </c>
      <c r="H54">
        <v>21.25</v>
      </c>
      <c r="I54">
        <v>-206950</v>
      </c>
      <c r="J54">
        <v>-255.75</v>
      </c>
      <c r="K54">
        <v>19150</v>
      </c>
      <c r="L54">
        <v>12225</v>
      </c>
      <c r="M54" t="s">
        <v>20</v>
      </c>
      <c r="N54">
        <v>-79300</v>
      </c>
      <c r="O54" t="s">
        <v>22</v>
      </c>
      <c r="P54">
        <v>24053.84</v>
      </c>
      <c r="Q54">
        <v>24202.65</v>
      </c>
      <c r="R54">
        <v>24225</v>
      </c>
      <c r="S54">
        <v>24225</v>
      </c>
      <c r="T54">
        <v>24202.15</v>
      </c>
      <c r="U54" s="1">
        <v>45659.565972222219</v>
      </c>
      <c r="V54">
        <v>18.3</v>
      </c>
      <c r="W54">
        <v>775800</v>
      </c>
      <c r="X54">
        <v>180</v>
      </c>
      <c r="Y54">
        <v>132000</v>
      </c>
      <c r="Z54">
        <v>148875</v>
      </c>
      <c r="AA54">
        <v>17.649999999999999</v>
      </c>
      <c r="AB54">
        <v>18.05</v>
      </c>
      <c r="AC54">
        <v>-16875</v>
      </c>
      <c r="AD54">
        <v>-221.7</v>
      </c>
      <c r="AE54">
        <v>49125</v>
      </c>
      <c r="AF54">
        <v>-137025</v>
      </c>
      <c r="AG54" t="s">
        <v>21</v>
      </c>
      <c r="AH54">
        <v>1275</v>
      </c>
      <c r="AI54" t="s">
        <v>20</v>
      </c>
      <c r="AJ54">
        <v>225.45</v>
      </c>
      <c r="AK54">
        <v>243.75</v>
      </c>
      <c r="AL54">
        <v>246.45</v>
      </c>
      <c r="AM54">
        <v>222.2</v>
      </c>
      <c r="AN54">
        <v>104.7</v>
      </c>
      <c r="AO54" s="1">
        <v>45659.565972222219</v>
      </c>
      <c r="AP54">
        <v>-1.4</v>
      </c>
      <c r="AQ54">
        <v>9821625</v>
      </c>
      <c r="AR54">
        <v>180</v>
      </c>
      <c r="AS54">
        <v>17362950</v>
      </c>
      <c r="AT54">
        <v>19462725</v>
      </c>
      <c r="AU54">
        <v>-1.4</v>
      </c>
      <c r="AV54">
        <v>-1.4</v>
      </c>
      <c r="AW54">
        <v>-2099775</v>
      </c>
      <c r="AX54">
        <v>-19.45</v>
      </c>
      <c r="AY54">
        <v>110325</v>
      </c>
      <c r="AZ54">
        <v>45750</v>
      </c>
      <c r="BA54" t="s">
        <v>21</v>
      </c>
      <c r="BB54">
        <v>281475</v>
      </c>
      <c r="BC54" t="s">
        <v>20</v>
      </c>
      <c r="BD54">
        <v>5.55</v>
      </c>
      <c r="BE54">
        <v>4.1500000000000004</v>
      </c>
      <c r="BF54">
        <v>5.7</v>
      </c>
      <c r="BG54">
        <v>4.1500000000000004</v>
      </c>
      <c r="BH54">
        <v>57.98</v>
      </c>
      <c r="BI54" s="1">
        <v>45659.565972222219</v>
      </c>
      <c r="BJ54">
        <v>1735805100</v>
      </c>
      <c r="BK54">
        <v>14.07</v>
      </c>
      <c r="BL54">
        <v>14.08</v>
      </c>
      <c r="BM54">
        <v>13.98</v>
      </c>
      <c r="BN54">
        <v>13.99</v>
      </c>
      <c r="BO54">
        <v>0</v>
      </c>
      <c r="BP54">
        <f t="shared" si="0"/>
        <v>22.349999999998545</v>
      </c>
      <c r="BQ54">
        <f t="shared" si="1"/>
        <v>8.0000000000000071E-2</v>
      </c>
      <c r="BR54">
        <f t="shared" si="5"/>
        <v>2.7937499999998159</v>
      </c>
      <c r="BT54">
        <f t="shared" si="4"/>
        <v>0.1203461538461465</v>
      </c>
      <c r="BU54">
        <f t="shared" si="3"/>
        <v>-1</v>
      </c>
    </row>
    <row r="55" spans="1:73" hidden="1" x14ac:dyDescent="0.25">
      <c r="A55" s="1">
        <v>45659.569444444445</v>
      </c>
      <c r="B55">
        <v>10</v>
      </c>
      <c r="C55">
        <v>126900</v>
      </c>
      <c r="D55">
        <v>179</v>
      </c>
      <c r="E55">
        <v>32025</v>
      </c>
      <c r="F55">
        <v>136575</v>
      </c>
      <c r="G55">
        <v>7.45</v>
      </c>
      <c r="H55">
        <v>9.8000000000000007</v>
      </c>
      <c r="I55">
        <v>-104550</v>
      </c>
      <c r="J55">
        <v>-332.25</v>
      </c>
      <c r="K55">
        <v>17075</v>
      </c>
      <c r="L55">
        <v>6175</v>
      </c>
      <c r="M55" t="s">
        <v>20</v>
      </c>
      <c r="N55">
        <v>12100</v>
      </c>
      <c r="O55" t="s">
        <v>21</v>
      </c>
      <c r="P55">
        <v>24057.759999999998</v>
      </c>
      <c r="Q55">
        <v>24225</v>
      </c>
      <c r="R55">
        <v>24235</v>
      </c>
      <c r="S55">
        <v>24236</v>
      </c>
      <c r="T55">
        <v>24219.05</v>
      </c>
      <c r="U55" s="1">
        <v>45659.569444444445</v>
      </c>
      <c r="V55">
        <v>7.5</v>
      </c>
      <c r="W55">
        <v>547425</v>
      </c>
      <c r="X55">
        <v>180</v>
      </c>
      <c r="Y55">
        <v>115725</v>
      </c>
      <c r="Z55">
        <v>104925</v>
      </c>
      <c r="AA55">
        <v>6.5</v>
      </c>
      <c r="AB55">
        <v>6.7</v>
      </c>
      <c r="AC55">
        <v>10800</v>
      </c>
      <c r="AD55">
        <v>-221.95</v>
      </c>
      <c r="AE55">
        <v>44700</v>
      </c>
      <c r="AF55">
        <v>-946875</v>
      </c>
      <c r="AG55" t="s">
        <v>21</v>
      </c>
      <c r="AH55">
        <v>3675</v>
      </c>
      <c r="AI55" t="s">
        <v>20</v>
      </c>
      <c r="AJ55">
        <v>244.3</v>
      </c>
      <c r="AK55">
        <v>251.8</v>
      </c>
      <c r="AL55">
        <v>256.95</v>
      </c>
      <c r="AM55">
        <v>237.25</v>
      </c>
      <c r="AN55">
        <v>105.05</v>
      </c>
      <c r="AO55" s="1">
        <v>45659.569444444445</v>
      </c>
      <c r="AP55">
        <v>-0.45</v>
      </c>
      <c r="AQ55">
        <v>6283500</v>
      </c>
      <c r="AR55">
        <v>180</v>
      </c>
      <c r="AS55">
        <v>16616550</v>
      </c>
      <c r="AT55">
        <v>20907600</v>
      </c>
      <c r="AU55">
        <v>-0.3</v>
      </c>
      <c r="AV55">
        <v>-0.35</v>
      </c>
      <c r="AW55">
        <v>-4291050</v>
      </c>
      <c r="AX55">
        <v>-19.850000000000001</v>
      </c>
      <c r="AY55">
        <v>116100</v>
      </c>
      <c r="AZ55">
        <v>-102600</v>
      </c>
      <c r="BA55" t="s">
        <v>22</v>
      </c>
      <c r="BB55">
        <v>11250</v>
      </c>
      <c r="BC55" t="s">
        <v>20</v>
      </c>
      <c r="BD55">
        <v>4.25</v>
      </c>
      <c r="BE55">
        <v>3.8</v>
      </c>
      <c r="BF55">
        <v>4.8</v>
      </c>
      <c r="BG55">
        <v>3.8</v>
      </c>
      <c r="BH55">
        <v>56.78</v>
      </c>
      <c r="BI55" s="1">
        <v>45659.569444444445</v>
      </c>
      <c r="BJ55">
        <v>1735805400</v>
      </c>
      <c r="BK55">
        <v>14.01</v>
      </c>
      <c r="BL55">
        <v>14.01</v>
      </c>
      <c r="BM55">
        <v>13.93</v>
      </c>
      <c r="BN55">
        <v>13.94</v>
      </c>
      <c r="BO55">
        <v>0</v>
      </c>
      <c r="BP55">
        <f t="shared" si="0"/>
        <v>10</v>
      </c>
      <c r="BQ55">
        <f t="shared" si="1"/>
        <v>7.0000000000000284E-2</v>
      </c>
      <c r="BR55">
        <f t="shared" si="5"/>
        <v>1.4285714285714228</v>
      </c>
      <c r="BT55">
        <f t="shared" si="4"/>
        <v>3.5794183445192515E-2</v>
      </c>
      <c r="BU55">
        <f t="shared" si="3"/>
        <v>1</v>
      </c>
    </row>
    <row r="56" spans="1:73" hidden="1" x14ac:dyDescent="0.25">
      <c r="A56" s="1">
        <v>45659.572916666664</v>
      </c>
      <c r="B56">
        <v>-8.1</v>
      </c>
      <c r="C56">
        <v>89150</v>
      </c>
      <c r="D56">
        <v>178</v>
      </c>
      <c r="E56">
        <v>43325</v>
      </c>
      <c r="F56">
        <v>137200</v>
      </c>
      <c r="G56">
        <v>-6.05</v>
      </c>
      <c r="H56">
        <v>-5.05</v>
      </c>
      <c r="I56">
        <v>-93875</v>
      </c>
      <c r="J56">
        <v>-435.4</v>
      </c>
      <c r="K56">
        <v>14700</v>
      </c>
      <c r="L56">
        <v>5375</v>
      </c>
      <c r="M56" t="s">
        <v>20</v>
      </c>
      <c r="N56">
        <v>-10850</v>
      </c>
      <c r="O56" t="s">
        <v>22</v>
      </c>
      <c r="P56">
        <v>24060.42</v>
      </c>
      <c r="Q56">
        <v>24235</v>
      </c>
      <c r="R56">
        <v>24226.9</v>
      </c>
      <c r="S56">
        <v>24236.3</v>
      </c>
      <c r="T56">
        <v>24218.400000000001</v>
      </c>
      <c r="U56" s="1">
        <v>45659.572916666664</v>
      </c>
      <c r="V56">
        <v>-1.95</v>
      </c>
      <c r="W56">
        <v>608775</v>
      </c>
      <c r="X56">
        <v>179</v>
      </c>
      <c r="Y56">
        <v>126150</v>
      </c>
      <c r="Z56">
        <v>102750</v>
      </c>
      <c r="AA56">
        <v>-1.55</v>
      </c>
      <c r="AB56">
        <v>-1.5</v>
      </c>
      <c r="AC56">
        <v>23400</v>
      </c>
      <c r="AD56">
        <v>-219.9</v>
      </c>
      <c r="AE56">
        <v>44325</v>
      </c>
      <c r="AF56">
        <v>-144900</v>
      </c>
      <c r="AG56" t="s">
        <v>22</v>
      </c>
      <c r="AH56">
        <v>-6300</v>
      </c>
      <c r="AI56" t="s">
        <v>22</v>
      </c>
      <c r="AJ56">
        <v>251.75</v>
      </c>
      <c r="AK56">
        <v>249.8</v>
      </c>
      <c r="AL56">
        <v>256.45</v>
      </c>
      <c r="AM56">
        <v>238.6</v>
      </c>
      <c r="AN56">
        <v>105.44</v>
      </c>
      <c r="AO56" s="1">
        <v>45659.572916666664</v>
      </c>
      <c r="AP56">
        <v>0.05</v>
      </c>
      <c r="AQ56">
        <v>6067800</v>
      </c>
      <c r="AR56">
        <v>180</v>
      </c>
      <c r="AS56">
        <v>11793150</v>
      </c>
      <c r="AT56">
        <v>15585150</v>
      </c>
      <c r="AU56">
        <v>0</v>
      </c>
      <c r="AV56">
        <v>0</v>
      </c>
      <c r="AW56">
        <v>-3792000</v>
      </c>
      <c r="AX56">
        <v>-19</v>
      </c>
      <c r="AY56">
        <v>106500</v>
      </c>
      <c r="AZ56">
        <v>195450</v>
      </c>
      <c r="BA56" t="s">
        <v>21</v>
      </c>
      <c r="BB56">
        <v>-206175</v>
      </c>
      <c r="BC56" t="s">
        <v>21</v>
      </c>
      <c r="BD56">
        <v>3.75</v>
      </c>
      <c r="BE56">
        <v>3.8</v>
      </c>
      <c r="BF56">
        <v>4.3</v>
      </c>
      <c r="BG56">
        <v>3.4</v>
      </c>
      <c r="BH56">
        <v>55.67</v>
      </c>
      <c r="BI56" s="1">
        <v>45659.572916666664</v>
      </c>
      <c r="BJ56">
        <v>1735805700</v>
      </c>
      <c r="BK56">
        <v>13.95</v>
      </c>
      <c r="BL56">
        <v>13.99</v>
      </c>
      <c r="BM56">
        <v>13.94</v>
      </c>
      <c r="BN56">
        <v>13.96</v>
      </c>
      <c r="BO56">
        <v>0</v>
      </c>
      <c r="BP56">
        <f t="shared" si="0"/>
        <v>8.0999999999985448</v>
      </c>
      <c r="BQ56">
        <f t="shared" si="1"/>
        <v>1.0000000000001563E-2</v>
      </c>
      <c r="BR56">
        <f t="shared" si="5"/>
        <v>8.0999999999972783</v>
      </c>
      <c r="BT56">
        <f t="shared" si="4"/>
        <v>5.6699999999990043E-2</v>
      </c>
      <c r="BU56">
        <f t="shared" si="3"/>
        <v>-1</v>
      </c>
    </row>
    <row r="57" spans="1:73" hidden="1" x14ac:dyDescent="0.25">
      <c r="A57" s="1">
        <v>45659.576388888891</v>
      </c>
      <c r="B57">
        <v>-5.95</v>
      </c>
      <c r="C57">
        <v>66050</v>
      </c>
      <c r="D57">
        <v>173</v>
      </c>
      <c r="E57">
        <v>56925</v>
      </c>
      <c r="F57">
        <v>82775</v>
      </c>
      <c r="G57">
        <v>-4.9000000000000004</v>
      </c>
      <c r="H57">
        <v>-4.9000000000000004</v>
      </c>
      <c r="I57">
        <v>-25850</v>
      </c>
      <c r="J57">
        <v>-588.20000000000005</v>
      </c>
      <c r="K57">
        <v>17450</v>
      </c>
      <c r="L57">
        <v>-450</v>
      </c>
      <c r="M57" t="s">
        <v>21</v>
      </c>
      <c r="N57">
        <v>1275</v>
      </c>
      <c r="O57" t="s">
        <v>20</v>
      </c>
      <c r="P57">
        <v>24062.28</v>
      </c>
      <c r="Q57">
        <v>24229.95</v>
      </c>
      <c r="R57">
        <v>24224</v>
      </c>
      <c r="S57">
        <v>24230</v>
      </c>
      <c r="T57">
        <v>24214.5</v>
      </c>
      <c r="U57" s="1">
        <v>45659.576388888891</v>
      </c>
      <c r="V57">
        <v>-7.55</v>
      </c>
      <c r="W57">
        <v>447225</v>
      </c>
      <c r="X57">
        <v>178</v>
      </c>
      <c r="Y57">
        <v>147000</v>
      </c>
      <c r="Z57">
        <v>130275</v>
      </c>
      <c r="AA57">
        <v>-6.75</v>
      </c>
      <c r="AB57">
        <v>-6.65</v>
      </c>
      <c r="AC57">
        <v>16725</v>
      </c>
      <c r="AD57">
        <v>-220.7</v>
      </c>
      <c r="AE57">
        <v>47550</v>
      </c>
      <c r="AF57">
        <v>-737550</v>
      </c>
      <c r="AG57" t="s">
        <v>21</v>
      </c>
      <c r="AH57">
        <v>1425</v>
      </c>
      <c r="AI57" t="s">
        <v>20</v>
      </c>
      <c r="AJ57">
        <v>249.8</v>
      </c>
      <c r="AK57">
        <v>242.25</v>
      </c>
      <c r="AL57">
        <v>252.45</v>
      </c>
      <c r="AM57">
        <v>234.95</v>
      </c>
      <c r="AN57">
        <v>105.72</v>
      </c>
      <c r="AO57" s="1">
        <v>45659.576388888891</v>
      </c>
      <c r="AP57">
        <v>0.4</v>
      </c>
      <c r="AQ57">
        <v>5975325</v>
      </c>
      <c r="AR57">
        <v>180</v>
      </c>
      <c r="AS57">
        <v>13377075</v>
      </c>
      <c r="AT57">
        <v>14948250</v>
      </c>
      <c r="AU57">
        <v>0.35</v>
      </c>
      <c r="AV57">
        <v>0.35</v>
      </c>
      <c r="AW57">
        <v>-1571175</v>
      </c>
      <c r="AX57">
        <v>-19.25</v>
      </c>
      <c r="AY57">
        <v>102075</v>
      </c>
      <c r="AZ57">
        <v>-27150</v>
      </c>
      <c r="BA57" t="s">
        <v>22</v>
      </c>
      <c r="BB57">
        <v>82725</v>
      </c>
      <c r="BC57" t="s">
        <v>22</v>
      </c>
      <c r="BD57">
        <v>3.8</v>
      </c>
      <c r="BE57">
        <v>4.2</v>
      </c>
      <c r="BF57">
        <v>4.45</v>
      </c>
      <c r="BG57">
        <v>3.75</v>
      </c>
      <c r="BH57">
        <v>54.64</v>
      </c>
      <c r="BI57" s="1">
        <v>45659.576388888891</v>
      </c>
      <c r="BJ57">
        <v>1735806000</v>
      </c>
      <c r="BK57">
        <v>13.95</v>
      </c>
      <c r="BL57">
        <v>14.01</v>
      </c>
      <c r="BM57">
        <v>13.94</v>
      </c>
      <c r="BN57">
        <v>13.99</v>
      </c>
      <c r="BO57">
        <v>0</v>
      </c>
      <c r="BP57">
        <f t="shared" si="0"/>
        <v>5.9500000000007276</v>
      </c>
      <c r="BQ57">
        <f t="shared" si="1"/>
        <v>4.0000000000000924E-2</v>
      </c>
      <c r="BR57">
        <f t="shared" si="5"/>
        <v>1.4875000000001475</v>
      </c>
      <c r="BT57">
        <f t="shared" si="4"/>
        <v>7.3456790123490453E-3</v>
      </c>
      <c r="BU57">
        <f t="shared" si="3"/>
        <v>1</v>
      </c>
    </row>
    <row r="58" spans="1:73" x14ac:dyDescent="0.25">
      <c r="A58" s="1">
        <v>45659.579861111109</v>
      </c>
      <c r="B58">
        <v>-12.75</v>
      </c>
      <c r="C58">
        <v>77950</v>
      </c>
      <c r="D58">
        <v>172</v>
      </c>
      <c r="E58">
        <v>61300</v>
      </c>
      <c r="F58">
        <v>104425</v>
      </c>
      <c r="G58">
        <v>-12.25</v>
      </c>
      <c r="H58">
        <v>-14.15</v>
      </c>
      <c r="I58">
        <v>-43125</v>
      </c>
      <c r="J58">
        <v>-627.25</v>
      </c>
      <c r="K58">
        <v>18550</v>
      </c>
      <c r="L58">
        <v>-14575</v>
      </c>
      <c r="M58" t="s">
        <v>21</v>
      </c>
      <c r="N58">
        <v>-7425</v>
      </c>
      <c r="O58" t="s">
        <v>22</v>
      </c>
      <c r="P58">
        <v>24064.32</v>
      </c>
      <c r="Q58">
        <v>24221.45</v>
      </c>
      <c r="R58">
        <v>24208.7</v>
      </c>
      <c r="S58">
        <v>24230</v>
      </c>
      <c r="T58">
        <v>24203.85</v>
      </c>
      <c r="U58" s="1">
        <v>45659.579861111109</v>
      </c>
      <c r="V58">
        <v>-12.55</v>
      </c>
      <c r="W58">
        <v>391125</v>
      </c>
      <c r="X58">
        <v>177</v>
      </c>
      <c r="Y58">
        <v>127650</v>
      </c>
      <c r="Z58">
        <v>154725</v>
      </c>
      <c r="AA58">
        <v>-11.55</v>
      </c>
      <c r="AB58">
        <v>-11.95</v>
      </c>
      <c r="AC58">
        <v>-27075</v>
      </c>
      <c r="AD58">
        <v>-223.3</v>
      </c>
      <c r="AE58">
        <v>40650</v>
      </c>
      <c r="AF58">
        <v>-132900</v>
      </c>
      <c r="AG58" t="s">
        <v>22</v>
      </c>
      <c r="AH58">
        <v>5400</v>
      </c>
      <c r="AI58" t="s">
        <v>20</v>
      </c>
      <c r="AJ58">
        <v>243.4</v>
      </c>
      <c r="AK58">
        <v>230.85</v>
      </c>
      <c r="AL58">
        <v>248.95</v>
      </c>
      <c r="AM58">
        <v>228.45</v>
      </c>
      <c r="AN58">
        <v>105.95</v>
      </c>
      <c r="AO58" s="1">
        <v>45659.579861111109</v>
      </c>
      <c r="AP58">
        <v>-0.3</v>
      </c>
      <c r="AQ58">
        <v>10041825</v>
      </c>
      <c r="AR58">
        <v>180</v>
      </c>
      <c r="AS58">
        <v>13210050</v>
      </c>
      <c r="AT58">
        <v>14388975</v>
      </c>
      <c r="AU58">
        <v>-0.4</v>
      </c>
      <c r="AV58">
        <v>-0.4</v>
      </c>
      <c r="AW58">
        <v>-1178925</v>
      </c>
      <c r="AX58">
        <v>-19.7</v>
      </c>
      <c r="AY58">
        <v>142800</v>
      </c>
      <c r="AZ58">
        <v>-165150</v>
      </c>
      <c r="BA58" t="s">
        <v>22</v>
      </c>
      <c r="BB58">
        <v>-86925</v>
      </c>
      <c r="BC58" t="s">
        <v>21</v>
      </c>
      <c r="BD58">
        <v>4.2</v>
      </c>
      <c r="BE58">
        <v>3.9</v>
      </c>
      <c r="BF58">
        <v>4.3499999999999996</v>
      </c>
      <c r="BG58">
        <v>3.05</v>
      </c>
      <c r="BH58">
        <v>52.98</v>
      </c>
      <c r="BI58" s="1">
        <v>45659.579861111109</v>
      </c>
      <c r="BJ58">
        <v>1735806300</v>
      </c>
      <c r="BK58">
        <v>14</v>
      </c>
      <c r="BL58">
        <v>14.01</v>
      </c>
      <c r="BM58">
        <v>13.97</v>
      </c>
      <c r="BN58">
        <v>14</v>
      </c>
      <c r="BO58">
        <v>0</v>
      </c>
      <c r="BP58">
        <f t="shared" si="0"/>
        <v>12.75</v>
      </c>
      <c r="BQ58">
        <f t="shared" si="1"/>
        <v>0</v>
      </c>
      <c r="BR58" t="e">
        <f t="shared" si="5"/>
        <v>#DIV/0!</v>
      </c>
      <c r="BT58">
        <f t="shared" si="4"/>
        <v>8.5714285714277222E-2</v>
      </c>
      <c r="BU58">
        <f t="shared" si="3"/>
        <v>-1</v>
      </c>
    </row>
    <row r="59" spans="1:73" s="2" customFormat="1" hidden="1" x14ac:dyDescent="0.25">
      <c r="A59" s="1">
        <v>45659.583333333336</v>
      </c>
      <c r="B59">
        <v>4.8499999999999996</v>
      </c>
      <c r="C59">
        <v>84500</v>
      </c>
      <c r="D59">
        <v>168</v>
      </c>
      <c r="E59">
        <v>41050</v>
      </c>
      <c r="F59">
        <v>156025</v>
      </c>
      <c r="G59">
        <v>4.55</v>
      </c>
      <c r="H59">
        <v>5.0999999999999996</v>
      </c>
      <c r="I59">
        <v>-114975</v>
      </c>
      <c r="J59">
        <v>-732.15</v>
      </c>
      <c r="K59">
        <v>22925</v>
      </c>
      <c r="L59">
        <v>17800</v>
      </c>
      <c r="M59" t="s">
        <v>22</v>
      </c>
      <c r="N59">
        <v>-7200</v>
      </c>
      <c r="O59" t="s">
        <v>20</v>
      </c>
      <c r="P59">
        <v>24066.42</v>
      </c>
      <c r="Q59">
        <v>24209</v>
      </c>
      <c r="R59">
        <v>24213.85</v>
      </c>
      <c r="S59">
        <v>24219</v>
      </c>
      <c r="T59">
        <v>24203.35</v>
      </c>
      <c r="U59" s="1">
        <v>45659.583333333336</v>
      </c>
      <c r="V59">
        <v>7.6</v>
      </c>
      <c r="W59">
        <v>402300</v>
      </c>
      <c r="X59">
        <v>178</v>
      </c>
      <c r="Y59">
        <v>117300</v>
      </c>
      <c r="Z59">
        <v>110850</v>
      </c>
      <c r="AA59">
        <v>7.2</v>
      </c>
      <c r="AB59">
        <v>7.2</v>
      </c>
      <c r="AC59">
        <v>6450</v>
      </c>
      <c r="AD59">
        <v>-208.1</v>
      </c>
      <c r="AE59">
        <v>37575</v>
      </c>
      <c r="AF59">
        <v>-249000</v>
      </c>
      <c r="AG59" t="s">
        <v>21</v>
      </c>
      <c r="AH59">
        <v>-7125</v>
      </c>
      <c r="AI59" t="s">
        <v>22</v>
      </c>
      <c r="AJ59">
        <v>230.85</v>
      </c>
      <c r="AK59">
        <v>238.45</v>
      </c>
      <c r="AL59">
        <v>241.4</v>
      </c>
      <c r="AM59">
        <v>226.2</v>
      </c>
      <c r="AN59">
        <v>106.19</v>
      </c>
      <c r="AO59" s="1">
        <v>45659.583333333336</v>
      </c>
      <c r="AP59">
        <v>-0.95</v>
      </c>
      <c r="AQ59">
        <v>7986825</v>
      </c>
      <c r="AR59">
        <v>180</v>
      </c>
      <c r="AS59">
        <v>11137425</v>
      </c>
      <c r="AT59">
        <v>10990875</v>
      </c>
      <c r="AU59">
        <v>-0.95</v>
      </c>
      <c r="AV59">
        <v>-0.95</v>
      </c>
      <c r="AW59">
        <v>146550</v>
      </c>
      <c r="AX59">
        <v>-19</v>
      </c>
      <c r="AY59">
        <v>137325</v>
      </c>
      <c r="AZ59">
        <v>-195075</v>
      </c>
      <c r="BA59" t="s">
        <v>22</v>
      </c>
      <c r="BB59">
        <v>143700</v>
      </c>
      <c r="BC59" t="s">
        <v>22</v>
      </c>
      <c r="BD59">
        <v>3.85</v>
      </c>
      <c r="BE59">
        <v>2.9</v>
      </c>
      <c r="BF59">
        <v>4.25</v>
      </c>
      <c r="BG59">
        <v>2.65</v>
      </c>
      <c r="BH59">
        <v>51.72</v>
      </c>
      <c r="BI59" s="1">
        <v>45659.583333333336</v>
      </c>
      <c r="BJ59">
        <v>1735806600</v>
      </c>
      <c r="BK59">
        <v>13.98</v>
      </c>
      <c r="BL59">
        <v>14</v>
      </c>
      <c r="BM59">
        <v>13.97</v>
      </c>
      <c r="BN59">
        <v>13.98</v>
      </c>
      <c r="BO59">
        <v>0</v>
      </c>
      <c r="BP59" s="2">
        <f t="shared" si="0"/>
        <v>4.8499999999985448</v>
      </c>
      <c r="BQ59" s="2">
        <f t="shared" si="1"/>
        <v>0</v>
      </c>
      <c r="BR59" s="2" t="e">
        <f t="shared" si="5"/>
        <v>#DIV/0!</v>
      </c>
      <c r="BT59" t="e">
        <f t="shared" si="4"/>
        <v>#DIV/0!</v>
      </c>
      <c r="BU59" s="2" t="e">
        <f t="shared" si="3"/>
        <v>#DIV/0!</v>
      </c>
    </row>
    <row r="60" spans="1:73" hidden="1" x14ac:dyDescent="0.25">
      <c r="A60" s="1">
        <v>45659.586805555555</v>
      </c>
      <c r="B60">
        <v>20.7</v>
      </c>
      <c r="C60">
        <v>58250</v>
      </c>
      <c r="D60">
        <v>169</v>
      </c>
      <c r="E60">
        <v>50450</v>
      </c>
      <c r="F60">
        <v>125800</v>
      </c>
      <c r="G60">
        <v>16.75</v>
      </c>
      <c r="H60">
        <v>16.649999999999999</v>
      </c>
      <c r="I60">
        <v>-75350</v>
      </c>
      <c r="J60">
        <v>-571.45000000000005</v>
      </c>
      <c r="K60">
        <v>15225</v>
      </c>
      <c r="L60">
        <v>5425</v>
      </c>
      <c r="M60" t="s">
        <v>20</v>
      </c>
      <c r="N60">
        <v>-9600</v>
      </c>
      <c r="O60" t="s">
        <v>22</v>
      </c>
      <c r="P60">
        <v>24067.93</v>
      </c>
      <c r="Q60">
        <v>24210.05</v>
      </c>
      <c r="R60">
        <v>24230.75</v>
      </c>
      <c r="S60">
        <v>24232</v>
      </c>
      <c r="T60">
        <v>24209.1</v>
      </c>
      <c r="U60" s="1">
        <v>45659.586805555555</v>
      </c>
      <c r="V60">
        <v>12.8</v>
      </c>
      <c r="W60">
        <v>564675</v>
      </c>
      <c r="X60">
        <v>179</v>
      </c>
      <c r="Y60">
        <v>115200</v>
      </c>
      <c r="Z60">
        <v>194400</v>
      </c>
      <c r="AA60">
        <v>13.05</v>
      </c>
      <c r="AB60">
        <v>13.05</v>
      </c>
      <c r="AC60">
        <v>-79200</v>
      </c>
      <c r="AD60">
        <v>-224.6</v>
      </c>
      <c r="AE60">
        <v>39300</v>
      </c>
      <c r="AF60">
        <v>-970350</v>
      </c>
      <c r="AG60" t="s">
        <v>21</v>
      </c>
      <c r="AH60">
        <v>-4875</v>
      </c>
      <c r="AI60" t="s">
        <v>20</v>
      </c>
      <c r="AJ60">
        <v>238.55</v>
      </c>
      <c r="AK60">
        <v>251.35</v>
      </c>
      <c r="AL60">
        <v>253.6</v>
      </c>
      <c r="AM60">
        <v>234</v>
      </c>
      <c r="AN60">
        <v>106.54</v>
      </c>
      <c r="AO60" s="1">
        <v>45659.586805555555</v>
      </c>
      <c r="AP60">
        <v>-0.75</v>
      </c>
      <c r="AQ60">
        <v>8001525</v>
      </c>
      <c r="AR60">
        <v>180</v>
      </c>
      <c r="AS60">
        <v>17227050</v>
      </c>
      <c r="AT60">
        <v>19497750</v>
      </c>
      <c r="AU60">
        <v>-0.75</v>
      </c>
      <c r="AV60">
        <v>-0.75</v>
      </c>
      <c r="AW60">
        <v>-2270700</v>
      </c>
      <c r="AX60">
        <v>-19.3</v>
      </c>
      <c r="AY60">
        <v>131550</v>
      </c>
      <c r="AZ60">
        <v>-376275</v>
      </c>
      <c r="BA60" t="s">
        <v>22</v>
      </c>
      <c r="BB60">
        <v>192675</v>
      </c>
      <c r="BC60" t="s">
        <v>22</v>
      </c>
      <c r="BD60">
        <v>2.9</v>
      </c>
      <c r="BE60">
        <v>2.15</v>
      </c>
      <c r="BF60">
        <v>3.05</v>
      </c>
      <c r="BG60">
        <v>2.0499999999999998</v>
      </c>
      <c r="BH60">
        <v>50.5</v>
      </c>
      <c r="BI60" s="1">
        <v>45659.586805555555</v>
      </c>
      <c r="BJ60">
        <v>1735806900</v>
      </c>
      <c r="BK60">
        <v>13.98</v>
      </c>
      <c r="BL60">
        <v>13.99</v>
      </c>
      <c r="BM60">
        <v>13.9</v>
      </c>
      <c r="BN60">
        <v>13.91</v>
      </c>
      <c r="BO60">
        <v>0</v>
      </c>
      <c r="BP60">
        <f t="shared" si="0"/>
        <v>20.700000000000728</v>
      </c>
      <c r="BQ60">
        <f t="shared" si="1"/>
        <v>7.0000000000000284E-2</v>
      </c>
      <c r="BR60">
        <f t="shared" si="5"/>
        <v>2.9571428571429492</v>
      </c>
      <c r="BT60" t="e">
        <f t="shared" si="4"/>
        <v>#DIV/0!</v>
      </c>
      <c r="BU60" t="e">
        <f t="shared" si="3"/>
        <v>#DIV/0!</v>
      </c>
    </row>
    <row r="61" spans="1:73" s="2" customFormat="1" hidden="1" x14ac:dyDescent="0.25">
      <c r="A61" s="1">
        <v>45659.590277777781</v>
      </c>
      <c r="B61">
        <v>-0.1</v>
      </c>
      <c r="C61">
        <v>71575</v>
      </c>
      <c r="D61">
        <v>173</v>
      </c>
      <c r="E61">
        <v>59575</v>
      </c>
      <c r="F61">
        <v>160950</v>
      </c>
      <c r="G61">
        <v>0.35</v>
      </c>
      <c r="H61">
        <v>0.15</v>
      </c>
      <c r="I61">
        <v>-101375</v>
      </c>
      <c r="J61">
        <v>-473.2</v>
      </c>
      <c r="K61">
        <v>16250</v>
      </c>
      <c r="L61">
        <v>2675</v>
      </c>
      <c r="M61" t="s">
        <v>21</v>
      </c>
      <c r="N61">
        <v>-3700</v>
      </c>
      <c r="O61" t="s">
        <v>20</v>
      </c>
      <c r="P61">
        <v>24069.89</v>
      </c>
      <c r="Q61">
        <v>24230.75</v>
      </c>
      <c r="R61">
        <v>24230.65</v>
      </c>
      <c r="S61">
        <v>24240</v>
      </c>
      <c r="T61">
        <v>24226.25</v>
      </c>
      <c r="U61" s="1">
        <v>45659.590277777781</v>
      </c>
      <c r="V61">
        <v>6</v>
      </c>
      <c r="W61">
        <v>550275</v>
      </c>
      <c r="X61">
        <v>180</v>
      </c>
      <c r="Y61">
        <v>107325</v>
      </c>
      <c r="Z61">
        <v>118425</v>
      </c>
      <c r="AA61">
        <v>5.7</v>
      </c>
      <c r="AB61">
        <v>5.85</v>
      </c>
      <c r="AC61">
        <v>-11100</v>
      </c>
      <c r="AD61">
        <v>-227.7</v>
      </c>
      <c r="AE61">
        <v>40875</v>
      </c>
      <c r="AF61">
        <v>-319125</v>
      </c>
      <c r="AG61" t="s">
        <v>22</v>
      </c>
      <c r="AH61">
        <v>-10050</v>
      </c>
      <c r="AI61" t="s">
        <v>22</v>
      </c>
      <c r="AJ61">
        <v>250.5</v>
      </c>
      <c r="AK61">
        <v>256.5</v>
      </c>
      <c r="AL61">
        <v>265.25</v>
      </c>
      <c r="AM61">
        <v>248.4</v>
      </c>
      <c r="AN61">
        <v>106.91</v>
      </c>
      <c r="AO61" s="1">
        <v>45659.590277777781</v>
      </c>
      <c r="AP61">
        <v>0.15</v>
      </c>
      <c r="AQ61">
        <v>7262925</v>
      </c>
      <c r="AR61">
        <v>180</v>
      </c>
      <c r="AS61">
        <v>23432925</v>
      </c>
      <c r="AT61">
        <v>24393375</v>
      </c>
      <c r="AU61">
        <v>0.2</v>
      </c>
      <c r="AV61">
        <v>0.2</v>
      </c>
      <c r="AW61">
        <v>-960450</v>
      </c>
      <c r="AX61">
        <v>-18.75</v>
      </c>
      <c r="AY61">
        <v>102525</v>
      </c>
      <c r="AZ61">
        <v>258000</v>
      </c>
      <c r="BA61" t="s">
        <v>21</v>
      </c>
      <c r="BB61">
        <v>-165300</v>
      </c>
      <c r="BC61" t="s">
        <v>21</v>
      </c>
      <c r="BD61">
        <v>2.2000000000000002</v>
      </c>
      <c r="BE61">
        <v>2.35</v>
      </c>
      <c r="BF61">
        <v>2.4500000000000002</v>
      </c>
      <c r="BG61">
        <v>2.1</v>
      </c>
      <c r="BH61">
        <v>49.44</v>
      </c>
      <c r="BI61" s="1">
        <v>45659.590277777781</v>
      </c>
      <c r="BJ61">
        <v>1735807200</v>
      </c>
      <c r="BK61">
        <v>13.92</v>
      </c>
      <c r="BL61">
        <v>13.93</v>
      </c>
      <c r="BM61">
        <v>13.88</v>
      </c>
      <c r="BN61">
        <v>13.91</v>
      </c>
      <c r="BO61">
        <v>0</v>
      </c>
      <c r="BP61" s="2">
        <f t="shared" si="0"/>
        <v>9.9999999998544808E-2</v>
      </c>
      <c r="BQ61" s="2">
        <f t="shared" si="1"/>
        <v>9.9999999999997868E-3</v>
      </c>
      <c r="BR61" s="2">
        <f t="shared" si="5"/>
        <v>9.9999999998546946E-2</v>
      </c>
      <c r="BT61">
        <f t="shared" si="4"/>
        <v>3.3816425120279799E-4</v>
      </c>
      <c r="BU61" s="2">
        <f t="shared" si="3"/>
        <v>1</v>
      </c>
    </row>
    <row r="62" spans="1:73" hidden="1" x14ac:dyDescent="0.25">
      <c r="A62" s="1">
        <v>45659.59375</v>
      </c>
      <c r="B62">
        <v>22.15</v>
      </c>
      <c r="C62">
        <v>118425</v>
      </c>
      <c r="D62">
        <v>175</v>
      </c>
      <c r="E62">
        <v>146750</v>
      </c>
      <c r="F62">
        <v>302000</v>
      </c>
      <c r="G62">
        <v>18.149999999999999</v>
      </c>
      <c r="H62">
        <v>20.05</v>
      </c>
      <c r="I62">
        <v>-155250</v>
      </c>
      <c r="J62">
        <v>-383</v>
      </c>
      <c r="K62">
        <v>16125</v>
      </c>
      <c r="L62">
        <v>-4700</v>
      </c>
      <c r="M62" t="s">
        <v>21</v>
      </c>
      <c r="N62">
        <v>-37300</v>
      </c>
      <c r="O62" t="s">
        <v>22</v>
      </c>
      <c r="P62">
        <v>24073.21</v>
      </c>
      <c r="Q62">
        <v>24232.85</v>
      </c>
      <c r="R62">
        <v>24255</v>
      </c>
      <c r="S62">
        <v>24255</v>
      </c>
      <c r="T62">
        <v>24230.95</v>
      </c>
      <c r="U62" s="1">
        <v>45659.59375</v>
      </c>
      <c r="V62">
        <v>17.5</v>
      </c>
      <c r="W62">
        <v>518700</v>
      </c>
      <c r="X62">
        <v>178</v>
      </c>
      <c r="Y62">
        <v>142575</v>
      </c>
      <c r="Z62">
        <v>133725</v>
      </c>
      <c r="AA62">
        <v>17.399999999999999</v>
      </c>
      <c r="AB62">
        <v>17.600000000000001</v>
      </c>
      <c r="AC62">
        <v>8850</v>
      </c>
      <c r="AD62">
        <v>-233.55</v>
      </c>
      <c r="AE62">
        <v>39450</v>
      </c>
      <c r="AF62">
        <v>-196425</v>
      </c>
      <c r="AG62" t="s">
        <v>22</v>
      </c>
      <c r="AH62">
        <v>-5400</v>
      </c>
      <c r="AI62" t="s">
        <v>20</v>
      </c>
      <c r="AJ62">
        <v>256.85000000000002</v>
      </c>
      <c r="AK62">
        <v>274.35000000000002</v>
      </c>
      <c r="AL62">
        <v>278.25</v>
      </c>
      <c r="AM62">
        <v>256.10000000000002</v>
      </c>
      <c r="AN62">
        <v>107.27</v>
      </c>
      <c r="AO62" s="1">
        <v>45659.59375</v>
      </c>
      <c r="AP62">
        <v>-0.5</v>
      </c>
      <c r="AQ62">
        <v>7931550</v>
      </c>
      <c r="AR62">
        <v>180</v>
      </c>
      <c r="AS62">
        <v>25219800</v>
      </c>
      <c r="AT62">
        <v>23480025</v>
      </c>
      <c r="AU62">
        <v>-0.55000000000000004</v>
      </c>
      <c r="AV62">
        <v>-0.55000000000000004</v>
      </c>
      <c r="AW62">
        <v>1739775</v>
      </c>
      <c r="AX62">
        <v>-19</v>
      </c>
      <c r="AY62">
        <v>116250</v>
      </c>
      <c r="AZ62">
        <v>-358350</v>
      </c>
      <c r="BA62" t="s">
        <v>22</v>
      </c>
      <c r="BB62">
        <v>175200</v>
      </c>
      <c r="BC62" t="s">
        <v>22</v>
      </c>
      <c r="BD62">
        <v>2.35</v>
      </c>
      <c r="BE62">
        <v>1.85</v>
      </c>
      <c r="BF62">
        <v>2.5499999999999998</v>
      </c>
      <c r="BG62">
        <v>1.7</v>
      </c>
      <c r="BH62">
        <v>48.33</v>
      </c>
      <c r="BI62" s="1">
        <v>45659.59375</v>
      </c>
      <c r="BJ62">
        <v>1735807500</v>
      </c>
      <c r="BK62">
        <v>13.9</v>
      </c>
      <c r="BL62">
        <v>13.91</v>
      </c>
      <c r="BM62">
        <v>13.86</v>
      </c>
      <c r="BN62">
        <v>13.88</v>
      </c>
      <c r="BO62">
        <v>0</v>
      </c>
      <c r="BP62">
        <f t="shared" si="0"/>
        <v>22.150000000001455</v>
      </c>
      <c r="BQ62">
        <f t="shared" si="1"/>
        <v>1.9999999999999574E-2</v>
      </c>
      <c r="BR62">
        <f t="shared" si="5"/>
        <v>11.075000000000964</v>
      </c>
      <c r="BT62">
        <f t="shared" si="4"/>
        <v>2.2150000000323304</v>
      </c>
      <c r="BU62">
        <f t="shared" si="3"/>
        <v>-1</v>
      </c>
    </row>
    <row r="63" spans="1:73" hidden="1" x14ac:dyDescent="0.25">
      <c r="A63" s="1">
        <v>45659.597222222219</v>
      </c>
      <c r="B63">
        <v>1</v>
      </c>
      <c r="C63">
        <v>128475</v>
      </c>
      <c r="D63">
        <v>178</v>
      </c>
      <c r="E63">
        <v>62700</v>
      </c>
      <c r="F63">
        <v>136300</v>
      </c>
      <c r="G63">
        <v>-0.35</v>
      </c>
      <c r="H63">
        <v>0.5</v>
      </c>
      <c r="I63">
        <v>-73600</v>
      </c>
      <c r="J63">
        <v>-662.4</v>
      </c>
      <c r="K63">
        <v>17325</v>
      </c>
      <c r="L63">
        <v>5150</v>
      </c>
      <c r="M63" t="s">
        <v>20</v>
      </c>
      <c r="N63">
        <v>20050</v>
      </c>
      <c r="O63" t="s">
        <v>21</v>
      </c>
      <c r="P63">
        <v>24077.09</v>
      </c>
      <c r="Q63">
        <v>24250.9</v>
      </c>
      <c r="R63">
        <v>24251.9</v>
      </c>
      <c r="S63">
        <v>24268.7</v>
      </c>
      <c r="T63">
        <v>24250</v>
      </c>
      <c r="U63" s="1">
        <v>45659.597222222219</v>
      </c>
      <c r="V63">
        <v>2.9</v>
      </c>
      <c r="W63">
        <v>532800</v>
      </c>
      <c r="X63">
        <v>179</v>
      </c>
      <c r="Y63">
        <v>132675</v>
      </c>
      <c r="Z63">
        <v>131250</v>
      </c>
      <c r="AA63">
        <v>2.2999999999999998</v>
      </c>
      <c r="AB63">
        <v>2.25</v>
      </c>
      <c r="AC63">
        <v>1425</v>
      </c>
      <c r="AD63">
        <v>-266.7</v>
      </c>
      <c r="AE63">
        <v>46050</v>
      </c>
      <c r="AF63">
        <v>-139800</v>
      </c>
      <c r="AG63" t="s">
        <v>22</v>
      </c>
      <c r="AH63">
        <v>17775</v>
      </c>
      <c r="AI63" t="s">
        <v>21</v>
      </c>
      <c r="AJ63">
        <v>273.95</v>
      </c>
      <c r="AK63">
        <v>276.85000000000002</v>
      </c>
      <c r="AL63">
        <v>293.14999999999998</v>
      </c>
      <c r="AM63">
        <v>272.05</v>
      </c>
      <c r="AN63">
        <v>107.69</v>
      </c>
      <c r="AO63" s="1">
        <v>45659.597222222219</v>
      </c>
      <c r="AP63">
        <v>-0.05</v>
      </c>
      <c r="AQ63">
        <v>8123250</v>
      </c>
      <c r="AR63">
        <v>180</v>
      </c>
      <c r="AS63">
        <v>26522850</v>
      </c>
      <c r="AT63">
        <v>26549250</v>
      </c>
      <c r="AU63">
        <v>-0.05</v>
      </c>
      <c r="AV63">
        <v>-0.05</v>
      </c>
      <c r="AW63">
        <v>-26400</v>
      </c>
      <c r="AX63">
        <v>-19.149999999999999</v>
      </c>
      <c r="AY63">
        <v>126750</v>
      </c>
      <c r="AZ63">
        <v>-80400</v>
      </c>
      <c r="BA63" t="s">
        <v>21</v>
      </c>
      <c r="BB63">
        <v>-43050</v>
      </c>
      <c r="BC63" t="s">
        <v>21</v>
      </c>
      <c r="BD63">
        <v>1.85</v>
      </c>
      <c r="BE63">
        <v>1.8</v>
      </c>
      <c r="BF63">
        <v>2.1</v>
      </c>
      <c r="BG63">
        <v>1.75</v>
      </c>
      <c r="BH63">
        <v>47.24</v>
      </c>
      <c r="BI63" s="1">
        <v>45659.597222222219</v>
      </c>
      <c r="BJ63">
        <v>1735807800</v>
      </c>
      <c r="BK63">
        <v>13.88</v>
      </c>
      <c r="BL63">
        <v>13.92</v>
      </c>
      <c r="BM63">
        <v>13.83</v>
      </c>
      <c r="BN63">
        <v>13.85</v>
      </c>
      <c r="BO63">
        <v>0</v>
      </c>
      <c r="BP63">
        <f t="shared" si="0"/>
        <v>1</v>
      </c>
      <c r="BQ63">
        <f t="shared" si="1"/>
        <v>3.0000000000001137E-2</v>
      </c>
      <c r="BR63">
        <f t="shared" si="5"/>
        <v>0.33333333333332071</v>
      </c>
      <c r="BT63">
        <f t="shared" si="4"/>
        <v>9.0293453724597111E-4</v>
      </c>
      <c r="BU63">
        <f t="shared" si="3"/>
        <v>1</v>
      </c>
    </row>
    <row r="64" spans="1:73" hidden="1" x14ac:dyDescent="0.25">
      <c r="A64" s="1">
        <v>45659.600694444445</v>
      </c>
      <c r="B64">
        <v>-10.85</v>
      </c>
      <c r="C64">
        <v>153200</v>
      </c>
      <c r="D64">
        <v>177</v>
      </c>
      <c r="E64">
        <v>55750</v>
      </c>
      <c r="F64">
        <v>172625</v>
      </c>
      <c r="G64">
        <v>-10.6</v>
      </c>
      <c r="H64">
        <v>-11.9</v>
      </c>
      <c r="I64">
        <v>-116875</v>
      </c>
      <c r="J64">
        <v>-955.7</v>
      </c>
      <c r="K64">
        <v>18075</v>
      </c>
      <c r="L64">
        <v>5900</v>
      </c>
      <c r="M64" t="s">
        <v>20</v>
      </c>
      <c r="N64">
        <v>7125</v>
      </c>
      <c r="O64" t="s">
        <v>20</v>
      </c>
      <c r="P64">
        <v>24081.03</v>
      </c>
      <c r="Q64">
        <v>24250.35</v>
      </c>
      <c r="R64">
        <v>24239.5</v>
      </c>
      <c r="S64">
        <v>24253.200000000001</v>
      </c>
      <c r="T64">
        <v>24236.5</v>
      </c>
      <c r="U64" s="1">
        <v>45659.600694444445</v>
      </c>
      <c r="V64">
        <v>-13.55</v>
      </c>
      <c r="W64">
        <v>243825</v>
      </c>
      <c r="X64">
        <v>175</v>
      </c>
      <c r="Y64">
        <v>115425</v>
      </c>
      <c r="Z64">
        <v>99750</v>
      </c>
      <c r="AA64">
        <v>-12.3</v>
      </c>
      <c r="AB64">
        <v>-12.55</v>
      </c>
      <c r="AC64">
        <v>15675</v>
      </c>
      <c r="AD64">
        <v>-231.65</v>
      </c>
      <c r="AE64">
        <v>40050</v>
      </c>
      <c r="AF64">
        <v>-1747200</v>
      </c>
      <c r="AG64" t="s">
        <v>21</v>
      </c>
      <c r="AH64">
        <v>12375</v>
      </c>
      <c r="AI64" t="s">
        <v>20</v>
      </c>
      <c r="AJ64">
        <v>277.25</v>
      </c>
      <c r="AK64">
        <v>263.7</v>
      </c>
      <c r="AL64">
        <v>277.35000000000002</v>
      </c>
      <c r="AM64">
        <v>261.35000000000002</v>
      </c>
      <c r="AN64">
        <v>107.86</v>
      </c>
      <c r="AO64" s="1">
        <v>45659.600694444445</v>
      </c>
      <c r="AP64">
        <v>-0.05</v>
      </c>
      <c r="AQ64">
        <v>9285450</v>
      </c>
      <c r="AR64">
        <v>180</v>
      </c>
      <c r="AS64">
        <v>25553850</v>
      </c>
      <c r="AT64">
        <v>24558450</v>
      </c>
      <c r="AU64">
        <v>-0.1</v>
      </c>
      <c r="AV64">
        <v>-0.1</v>
      </c>
      <c r="AW64">
        <v>995400</v>
      </c>
      <c r="AX64">
        <v>-18.25</v>
      </c>
      <c r="AY64">
        <v>137925</v>
      </c>
      <c r="AZ64">
        <v>-100125</v>
      </c>
      <c r="BA64" t="s">
        <v>22</v>
      </c>
      <c r="BB64">
        <v>-243600</v>
      </c>
      <c r="BC64" t="s">
        <v>21</v>
      </c>
      <c r="BD64">
        <v>1.75</v>
      </c>
      <c r="BE64">
        <v>1.7</v>
      </c>
      <c r="BF64">
        <v>1.95</v>
      </c>
      <c r="BG64">
        <v>1.35</v>
      </c>
      <c r="BH64">
        <v>46.06</v>
      </c>
      <c r="BI64" s="1">
        <v>45659.600694444445</v>
      </c>
      <c r="BJ64">
        <v>1735808100</v>
      </c>
      <c r="BK64">
        <v>13.84</v>
      </c>
      <c r="BL64">
        <v>13.86</v>
      </c>
      <c r="BM64">
        <v>13.8</v>
      </c>
      <c r="BN64">
        <v>13.82</v>
      </c>
      <c r="BO64">
        <v>0</v>
      </c>
      <c r="BP64">
        <f t="shared" si="0"/>
        <v>10.849999999998545</v>
      </c>
      <c r="BQ64">
        <f t="shared" si="1"/>
        <v>1.9999999999999574E-2</v>
      </c>
      <c r="BR64">
        <f t="shared" si="5"/>
        <v>5.4249999999993888</v>
      </c>
      <c r="BT64">
        <f t="shared" si="4"/>
        <v>0.32549999999996865</v>
      </c>
      <c r="BU64">
        <f t="shared" si="3"/>
        <v>-1</v>
      </c>
    </row>
    <row r="65" spans="1:73" hidden="1" x14ac:dyDescent="0.25">
      <c r="A65" s="1">
        <v>45659.604166666664</v>
      </c>
      <c r="B65">
        <v>20.5</v>
      </c>
      <c r="C65">
        <v>88925</v>
      </c>
      <c r="D65">
        <v>175</v>
      </c>
      <c r="E65">
        <v>52425</v>
      </c>
      <c r="F65">
        <v>114725</v>
      </c>
      <c r="G65">
        <v>20</v>
      </c>
      <c r="H65">
        <v>21.75</v>
      </c>
      <c r="I65">
        <v>-62300</v>
      </c>
      <c r="J65">
        <v>-783.95</v>
      </c>
      <c r="K65">
        <v>18800</v>
      </c>
      <c r="L65">
        <v>22875</v>
      </c>
      <c r="M65" t="s">
        <v>20</v>
      </c>
      <c r="N65">
        <v>19000</v>
      </c>
      <c r="O65" t="s">
        <v>20</v>
      </c>
      <c r="P65">
        <v>24083.35</v>
      </c>
      <c r="Q65">
        <v>24239.5</v>
      </c>
      <c r="R65">
        <v>24260</v>
      </c>
      <c r="S65">
        <v>24264.75</v>
      </c>
      <c r="T65">
        <v>24238</v>
      </c>
      <c r="U65" s="1">
        <v>45659.604166666664</v>
      </c>
      <c r="V65">
        <v>15.6</v>
      </c>
      <c r="W65">
        <v>257100</v>
      </c>
      <c r="X65">
        <v>173</v>
      </c>
      <c r="Y65">
        <v>123675</v>
      </c>
      <c r="Z65">
        <v>118275</v>
      </c>
      <c r="AA65">
        <v>16.2</v>
      </c>
      <c r="AB65">
        <v>16.149999999999999</v>
      </c>
      <c r="AC65">
        <v>5400</v>
      </c>
      <c r="AD65">
        <v>-233.95</v>
      </c>
      <c r="AE65">
        <v>41250</v>
      </c>
      <c r="AF65">
        <v>-693525</v>
      </c>
      <c r="AG65" t="s">
        <v>22</v>
      </c>
      <c r="AH65">
        <v>4425</v>
      </c>
      <c r="AI65" t="s">
        <v>20</v>
      </c>
      <c r="AJ65">
        <v>264.25</v>
      </c>
      <c r="AK65">
        <v>279.85000000000002</v>
      </c>
      <c r="AL65">
        <v>284.39999999999998</v>
      </c>
      <c r="AM65">
        <v>263.7</v>
      </c>
      <c r="AN65">
        <v>108.05</v>
      </c>
      <c r="AO65" s="1">
        <v>45659.604166666664</v>
      </c>
      <c r="AP65">
        <v>-0.4</v>
      </c>
      <c r="AQ65">
        <v>7192650</v>
      </c>
      <c r="AR65">
        <v>180</v>
      </c>
      <c r="AS65">
        <v>42087075</v>
      </c>
      <c r="AT65">
        <v>37085775</v>
      </c>
      <c r="AU65">
        <v>-0.35</v>
      </c>
      <c r="AV65">
        <v>-0.35</v>
      </c>
      <c r="AW65">
        <v>5001300</v>
      </c>
      <c r="AX65">
        <v>-18.5</v>
      </c>
      <c r="AY65">
        <v>108675</v>
      </c>
      <c r="AZ65">
        <v>258075</v>
      </c>
      <c r="BA65" t="s">
        <v>21</v>
      </c>
      <c r="BB65">
        <v>198300</v>
      </c>
      <c r="BC65" t="s">
        <v>22</v>
      </c>
      <c r="BD65">
        <v>1.7</v>
      </c>
      <c r="BE65">
        <v>1.3</v>
      </c>
      <c r="BF65">
        <v>1.8</v>
      </c>
      <c r="BG65">
        <v>1.1000000000000001</v>
      </c>
      <c r="BH65">
        <v>45.18</v>
      </c>
      <c r="BI65" s="1">
        <v>45659.604166666664</v>
      </c>
      <c r="BJ65">
        <v>1735808400</v>
      </c>
      <c r="BK65">
        <v>13.83</v>
      </c>
      <c r="BL65">
        <v>13.85</v>
      </c>
      <c r="BM65">
        <v>13.77</v>
      </c>
      <c r="BN65">
        <v>13.79</v>
      </c>
      <c r="BO65">
        <v>0</v>
      </c>
      <c r="BP65">
        <f t="shared" si="0"/>
        <v>20.5</v>
      </c>
      <c r="BQ65">
        <f t="shared" si="1"/>
        <v>4.0000000000000924E-2</v>
      </c>
      <c r="BR65">
        <f t="shared" si="5"/>
        <v>5.1249999999998819</v>
      </c>
      <c r="BT65">
        <f t="shared" si="4"/>
        <v>3.7788018433183981E-2</v>
      </c>
      <c r="BU65">
        <f t="shared" si="3"/>
        <v>1</v>
      </c>
    </row>
    <row r="66" spans="1:73" s="2" customFormat="1" x14ac:dyDescent="0.25">
      <c r="A66" s="1">
        <v>45659.607638888891</v>
      </c>
      <c r="B66">
        <v>-0.1</v>
      </c>
      <c r="C66">
        <v>99475</v>
      </c>
      <c r="D66">
        <v>177</v>
      </c>
      <c r="E66">
        <v>55400</v>
      </c>
      <c r="F66">
        <v>162700</v>
      </c>
      <c r="G66">
        <v>4.75</v>
      </c>
      <c r="H66">
        <v>5.8</v>
      </c>
      <c r="I66">
        <v>-107300</v>
      </c>
      <c r="J66">
        <v>-968.4</v>
      </c>
      <c r="K66">
        <v>17800</v>
      </c>
      <c r="L66">
        <v>-5350</v>
      </c>
      <c r="M66" t="s">
        <v>21</v>
      </c>
      <c r="N66">
        <v>6800</v>
      </c>
      <c r="O66" t="s">
        <v>20</v>
      </c>
      <c r="P66">
        <v>24086.080000000002</v>
      </c>
      <c r="Q66">
        <v>24263.9</v>
      </c>
      <c r="R66">
        <v>24263.8</v>
      </c>
      <c r="S66">
        <v>24270.85</v>
      </c>
      <c r="T66">
        <v>24257.35</v>
      </c>
      <c r="U66" s="1">
        <v>45659.607638888891</v>
      </c>
      <c r="V66">
        <v>2.2999999999999998</v>
      </c>
      <c r="W66">
        <v>355200</v>
      </c>
      <c r="X66">
        <v>177</v>
      </c>
      <c r="Y66">
        <v>124425</v>
      </c>
      <c r="Z66">
        <v>126675</v>
      </c>
      <c r="AA66">
        <v>1.6</v>
      </c>
      <c r="AB66">
        <v>1.9</v>
      </c>
      <c r="AC66">
        <v>-2250</v>
      </c>
      <c r="AD66">
        <v>-224.65</v>
      </c>
      <c r="AE66">
        <v>46350</v>
      </c>
      <c r="AF66">
        <v>-652125</v>
      </c>
      <c r="AG66" t="s">
        <v>22</v>
      </c>
      <c r="AH66">
        <v>-8400</v>
      </c>
      <c r="AI66" t="s">
        <v>22</v>
      </c>
      <c r="AJ66">
        <v>280.14999999999998</v>
      </c>
      <c r="AK66">
        <v>282.45</v>
      </c>
      <c r="AL66">
        <v>288.35000000000002</v>
      </c>
      <c r="AM66">
        <v>274.05</v>
      </c>
      <c r="AN66">
        <v>108.33</v>
      </c>
      <c r="AO66" s="1">
        <v>45659.607638888891</v>
      </c>
      <c r="AP66">
        <v>-0.35</v>
      </c>
      <c r="AQ66">
        <v>9067125</v>
      </c>
      <c r="AR66">
        <v>181</v>
      </c>
      <c r="AS66">
        <v>70818075</v>
      </c>
      <c r="AT66">
        <v>63368700</v>
      </c>
      <c r="AU66">
        <v>-0.35</v>
      </c>
      <c r="AV66">
        <v>-0.35</v>
      </c>
      <c r="AW66">
        <v>7449375</v>
      </c>
      <c r="AX66">
        <v>-18.649999999999999</v>
      </c>
      <c r="AY66">
        <v>116700</v>
      </c>
      <c r="AZ66">
        <v>-1542525</v>
      </c>
      <c r="BA66" t="s">
        <v>22</v>
      </c>
      <c r="BB66">
        <v>392100</v>
      </c>
      <c r="BC66" t="s">
        <v>22</v>
      </c>
      <c r="BD66">
        <v>1.35</v>
      </c>
      <c r="BE66">
        <v>1</v>
      </c>
      <c r="BF66">
        <v>1.4</v>
      </c>
      <c r="BG66">
        <v>0.9</v>
      </c>
      <c r="BH66">
        <v>44.11</v>
      </c>
      <c r="BI66" s="1">
        <v>45659.607638888891</v>
      </c>
      <c r="BJ66">
        <v>1735808700</v>
      </c>
      <c r="BK66">
        <v>13.78</v>
      </c>
      <c r="BL66">
        <v>13.79</v>
      </c>
      <c r="BM66">
        <v>13.72</v>
      </c>
      <c r="BN66">
        <v>13.72</v>
      </c>
      <c r="BO66">
        <v>0</v>
      </c>
      <c r="BP66" s="2">
        <f t="shared" si="0"/>
        <v>0.10000000000218279</v>
      </c>
      <c r="BQ66" s="2">
        <f t="shared" si="1"/>
        <v>5.9999999999998721E-2</v>
      </c>
      <c r="BR66" s="2">
        <f t="shared" si="5"/>
        <v>1.666666666703082E-2</v>
      </c>
      <c r="BT66">
        <f t="shared" si="4"/>
        <v>1.951219512237758E-4</v>
      </c>
      <c r="BU66" s="2">
        <f t="shared" si="3"/>
        <v>1</v>
      </c>
    </row>
    <row r="67" spans="1:73" hidden="1" x14ac:dyDescent="0.25">
      <c r="A67" s="1">
        <v>45659.611111111109</v>
      </c>
      <c r="B67">
        <v>3</v>
      </c>
      <c r="C67">
        <v>73300</v>
      </c>
      <c r="D67">
        <v>166</v>
      </c>
      <c r="E67">
        <v>87325</v>
      </c>
      <c r="F67">
        <v>81900</v>
      </c>
      <c r="G67">
        <v>0.2</v>
      </c>
      <c r="H67">
        <v>2.7</v>
      </c>
      <c r="I67">
        <v>5425</v>
      </c>
      <c r="J67">
        <v>-1048.1500000000001</v>
      </c>
      <c r="K67">
        <v>17500</v>
      </c>
      <c r="L67">
        <v>2125</v>
      </c>
      <c r="M67" t="s">
        <v>20</v>
      </c>
      <c r="N67">
        <v>-10200</v>
      </c>
      <c r="O67" t="s">
        <v>22</v>
      </c>
      <c r="P67">
        <v>24088.06</v>
      </c>
      <c r="Q67">
        <v>24266</v>
      </c>
      <c r="R67">
        <v>24269</v>
      </c>
      <c r="S67">
        <v>24275</v>
      </c>
      <c r="T67">
        <v>24260</v>
      </c>
      <c r="U67" s="1">
        <v>45659.611111111109</v>
      </c>
      <c r="V67">
        <v>-1.1000000000000001</v>
      </c>
      <c r="W67">
        <v>234450</v>
      </c>
      <c r="X67">
        <v>167</v>
      </c>
      <c r="Y67">
        <v>117825</v>
      </c>
      <c r="Z67">
        <v>212325</v>
      </c>
      <c r="AA67">
        <v>-2.15</v>
      </c>
      <c r="AB67">
        <v>-2.2000000000000002</v>
      </c>
      <c r="AC67">
        <v>-94500</v>
      </c>
      <c r="AD67">
        <v>-229.25</v>
      </c>
      <c r="AE67">
        <v>40950</v>
      </c>
      <c r="AF67">
        <v>-3417375</v>
      </c>
      <c r="AG67" t="s">
        <v>21</v>
      </c>
      <c r="AH67">
        <v>-675</v>
      </c>
      <c r="AI67" t="s">
        <v>20</v>
      </c>
      <c r="AJ67">
        <v>282.45</v>
      </c>
      <c r="AK67">
        <v>281.35000000000002</v>
      </c>
      <c r="AL67">
        <v>288.85000000000002</v>
      </c>
      <c r="AM67">
        <v>273.60000000000002</v>
      </c>
      <c r="AN67">
        <v>108.51</v>
      </c>
      <c r="AO67" s="1">
        <v>45659.611111111109</v>
      </c>
      <c r="AP67">
        <v>-0.05</v>
      </c>
      <c r="AQ67">
        <v>9518100</v>
      </c>
      <c r="AR67">
        <v>180</v>
      </c>
      <c r="AS67">
        <v>79099500</v>
      </c>
      <c r="AT67">
        <v>66498600</v>
      </c>
      <c r="AU67">
        <v>-0.05</v>
      </c>
      <c r="AV67">
        <v>-0.05</v>
      </c>
      <c r="AW67">
        <v>12600900</v>
      </c>
      <c r="AX67">
        <v>-17.899999999999999</v>
      </c>
      <c r="AY67">
        <v>111450</v>
      </c>
      <c r="AZ67">
        <v>-958125</v>
      </c>
      <c r="BA67" t="s">
        <v>21</v>
      </c>
      <c r="BB67">
        <v>148350</v>
      </c>
      <c r="BC67" t="s">
        <v>20</v>
      </c>
      <c r="BD67">
        <v>1</v>
      </c>
      <c r="BE67">
        <v>0.95</v>
      </c>
      <c r="BF67">
        <v>1.2</v>
      </c>
      <c r="BG67">
        <v>0.9</v>
      </c>
      <c r="BH67">
        <v>43.04</v>
      </c>
      <c r="BI67" s="1">
        <v>45659.611111111109</v>
      </c>
      <c r="BJ67">
        <v>1735809000</v>
      </c>
      <c r="BK67">
        <v>13.73</v>
      </c>
      <c r="BL67">
        <v>13.74</v>
      </c>
      <c r="BM67">
        <v>13.67</v>
      </c>
      <c r="BN67">
        <v>13.73</v>
      </c>
      <c r="BO67">
        <v>0</v>
      </c>
      <c r="BP67">
        <f t="shared" ref="BP67:BP76" si="6">ABS(Q67-R67)</f>
        <v>3</v>
      </c>
      <c r="BQ67">
        <f t="shared" ref="BQ67:BQ76" si="7">ABS(BK67-BN67)</f>
        <v>0</v>
      </c>
      <c r="BR67" t="e">
        <f t="shared" si="5"/>
        <v>#DIV/0!</v>
      </c>
      <c r="BT67">
        <f t="shared" si="4"/>
        <v>1.7999999999606715</v>
      </c>
      <c r="BU67">
        <f t="shared" si="3"/>
        <v>-1</v>
      </c>
    </row>
    <row r="68" spans="1:73" x14ac:dyDescent="0.25">
      <c r="A68" s="1">
        <v>45659.614583333336</v>
      </c>
      <c r="B68">
        <v>15.3</v>
      </c>
      <c r="C68">
        <v>167400</v>
      </c>
      <c r="D68">
        <v>172</v>
      </c>
      <c r="E68">
        <v>48275</v>
      </c>
      <c r="F68">
        <v>437275</v>
      </c>
      <c r="G68">
        <v>19.5</v>
      </c>
      <c r="H68">
        <v>16.3</v>
      </c>
      <c r="I68">
        <v>-389000</v>
      </c>
      <c r="J68">
        <v>-814.25</v>
      </c>
      <c r="K68">
        <v>25250</v>
      </c>
      <c r="L68">
        <v>9475</v>
      </c>
      <c r="M68" t="s">
        <v>20</v>
      </c>
      <c r="N68">
        <v>-23625</v>
      </c>
      <c r="O68" t="s">
        <v>22</v>
      </c>
      <c r="P68">
        <v>24092.65</v>
      </c>
      <c r="Q68">
        <v>24268.7</v>
      </c>
      <c r="R68">
        <v>24284</v>
      </c>
      <c r="S68">
        <v>24289.599999999999</v>
      </c>
      <c r="T68">
        <v>24263.35</v>
      </c>
      <c r="U68" s="1">
        <v>45659.614583333336</v>
      </c>
      <c r="V68">
        <v>18</v>
      </c>
      <c r="W68">
        <v>294300</v>
      </c>
      <c r="X68">
        <v>171</v>
      </c>
      <c r="Y68">
        <v>94050</v>
      </c>
      <c r="Z68">
        <v>138975</v>
      </c>
      <c r="AA68">
        <v>17.600000000000001</v>
      </c>
      <c r="AB68">
        <v>17.7</v>
      </c>
      <c r="AC68">
        <v>-44925</v>
      </c>
      <c r="AD68">
        <v>-238.25</v>
      </c>
      <c r="AE68">
        <v>43425</v>
      </c>
      <c r="AF68">
        <v>-949200</v>
      </c>
      <c r="AG68" t="s">
        <v>22</v>
      </c>
      <c r="AH68">
        <v>-29550</v>
      </c>
      <c r="AI68" t="s">
        <v>22</v>
      </c>
      <c r="AJ68">
        <v>280.89999999999998</v>
      </c>
      <c r="AK68">
        <v>298.89999999999998</v>
      </c>
      <c r="AL68">
        <v>301.89999999999998</v>
      </c>
      <c r="AM68">
        <v>276.85000000000002</v>
      </c>
      <c r="AN68">
        <v>108.74</v>
      </c>
      <c r="AO68" s="1">
        <v>45659.614583333336</v>
      </c>
      <c r="AP68">
        <v>0.05</v>
      </c>
      <c r="AQ68">
        <v>13619250</v>
      </c>
      <c r="AR68">
        <v>180</v>
      </c>
      <c r="AS68">
        <v>73438125</v>
      </c>
      <c r="AT68">
        <v>62624250</v>
      </c>
      <c r="AU68">
        <v>0.1</v>
      </c>
      <c r="AV68">
        <v>0.1</v>
      </c>
      <c r="AW68">
        <v>10813875</v>
      </c>
      <c r="AX68">
        <v>-18.8</v>
      </c>
      <c r="AY68">
        <v>156150</v>
      </c>
      <c r="AZ68">
        <v>133050</v>
      </c>
      <c r="BA68" t="s">
        <v>21</v>
      </c>
      <c r="BB68">
        <v>-564600</v>
      </c>
      <c r="BC68" t="s">
        <v>21</v>
      </c>
      <c r="BD68">
        <v>0.9</v>
      </c>
      <c r="BE68">
        <v>0.95</v>
      </c>
      <c r="BF68">
        <v>1.1499999999999999</v>
      </c>
      <c r="BG68">
        <v>0.85</v>
      </c>
      <c r="BH68">
        <v>41.59</v>
      </c>
      <c r="BI68" s="1">
        <v>45659.614583333336</v>
      </c>
      <c r="BJ68">
        <v>1735809300</v>
      </c>
      <c r="BK68">
        <v>13.72</v>
      </c>
      <c r="BL68">
        <v>13.79</v>
      </c>
      <c r="BM68">
        <v>13.69</v>
      </c>
      <c r="BN68">
        <v>13.72</v>
      </c>
      <c r="BO68">
        <v>0</v>
      </c>
      <c r="BP68">
        <f t="shared" si="6"/>
        <v>15.299999999999272</v>
      </c>
      <c r="BQ68">
        <f t="shared" si="7"/>
        <v>0</v>
      </c>
      <c r="BR68" t="e">
        <f t="shared" si="5"/>
        <v>#DIV/0!</v>
      </c>
      <c r="BT68" t="e">
        <f t="shared" si="4"/>
        <v>#DIV/0!</v>
      </c>
      <c r="BU68" t="e">
        <f t="shared" ref="BU68:BU76" si="8">IF(BQ68&lt;BT68,-1,1)</f>
        <v>#DIV/0!</v>
      </c>
    </row>
    <row r="69" spans="1:73" hidden="1" x14ac:dyDescent="0.25">
      <c r="A69" s="1">
        <v>45659.618055555555</v>
      </c>
      <c r="B69">
        <v>13.75</v>
      </c>
      <c r="C69">
        <v>254100</v>
      </c>
      <c r="D69">
        <v>180</v>
      </c>
      <c r="E69">
        <v>120975</v>
      </c>
      <c r="F69">
        <v>365850</v>
      </c>
      <c r="G69">
        <v>19.25</v>
      </c>
      <c r="H69">
        <v>15.25</v>
      </c>
      <c r="I69">
        <v>-244875</v>
      </c>
      <c r="J69">
        <v>-1087.25</v>
      </c>
      <c r="K69">
        <v>24450</v>
      </c>
      <c r="L69">
        <v>5425</v>
      </c>
      <c r="M69" t="s">
        <v>20</v>
      </c>
      <c r="N69">
        <v>-21975</v>
      </c>
      <c r="O69" t="s">
        <v>20</v>
      </c>
      <c r="P69">
        <v>24099.88</v>
      </c>
      <c r="Q69">
        <v>24289.65</v>
      </c>
      <c r="R69">
        <v>24303.4</v>
      </c>
      <c r="S69">
        <v>24308</v>
      </c>
      <c r="T69">
        <v>24283</v>
      </c>
      <c r="U69" s="1">
        <v>45659.618055555555</v>
      </c>
      <c r="V69">
        <v>13.85</v>
      </c>
      <c r="W69">
        <v>354675</v>
      </c>
      <c r="X69">
        <v>178</v>
      </c>
      <c r="Y69">
        <v>105675</v>
      </c>
      <c r="Z69">
        <v>116250</v>
      </c>
      <c r="AA69">
        <v>13.45</v>
      </c>
      <c r="AB69">
        <v>13.8</v>
      </c>
      <c r="AC69">
        <v>-10575</v>
      </c>
      <c r="AD69">
        <v>-279.85000000000002</v>
      </c>
      <c r="AE69">
        <v>41250</v>
      </c>
      <c r="AF69">
        <v>-1452150</v>
      </c>
      <c r="AG69" t="s">
        <v>21</v>
      </c>
      <c r="AH69">
        <v>19350</v>
      </c>
      <c r="AI69" t="s">
        <v>21</v>
      </c>
      <c r="AJ69">
        <v>299.64999999999998</v>
      </c>
      <c r="AK69">
        <v>313.5</v>
      </c>
      <c r="AL69">
        <v>316.85000000000002</v>
      </c>
      <c r="AM69">
        <v>296</v>
      </c>
      <c r="AN69">
        <v>109.06</v>
      </c>
      <c r="AO69" s="1">
        <v>45659.618055555555</v>
      </c>
      <c r="AP69">
        <v>-0.1</v>
      </c>
      <c r="AQ69">
        <v>11251500</v>
      </c>
      <c r="AR69">
        <v>180</v>
      </c>
      <c r="AS69">
        <v>68871375</v>
      </c>
      <c r="AT69">
        <v>60864375</v>
      </c>
      <c r="AU69">
        <v>-0.1</v>
      </c>
      <c r="AV69">
        <v>-0.1</v>
      </c>
      <c r="AW69">
        <v>8007000</v>
      </c>
      <c r="AX69">
        <v>-18.649999999999999</v>
      </c>
      <c r="AY69">
        <v>136950</v>
      </c>
      <c r="AZ69">
        <v>-1465350</v>
      </c>
      <c r="BA69" t="s">
        <v>22</v>
      </c>
      <c r="BB69">
        <v>433425</v>
      </c>
      <c r="BC69" t="s">
        <v>22</v>
      </c>
      <c r="BD69">
        <v>1</v>
      </c>
      <c r="BE69">
        <v>0.9</v>
      </c>
      <c r="BF69">
        <v>1.2</v>
      </c>
      <c r="BG69">
        <v>0.85</v>
      </c>
      <c r="BH69">
        <v>40.47</v>
      </c>
      <c r="BI69" s="1">
        <v>45659.618055555555</v>
      </c>
      <c r="BJ69">
        <v>1735809600</v>
      </c>
      <c r="BK69">
        <v>13.72</v>
      </c>
      <c r="BL69">
        <v>13.75</v>
      </c>
      <c r="BM69">
        <v>13.67</v>
      </c>
      <c r="BN69">
        <v>13.71</v>
      </c>
      <c r="BO69">
        <v>0</v>
      </c>
      <c r="BP69">
        <f t="shared" si="6"/>
        <v>13.75</v>
      </c>
      <c r="BQ69">
        <f t="shared" si="7"/>
        <v>9.9999999999997868E-3</v>
      </c>
      <c r="BR69">
        <f t="shared" si="5"/>
        <v>13.750000000000295</v>
      </c>
      <c r="BT69" t="e">
        <f t="shared" ref="BT69:BT76" si="9">BP69/BR68/100</f>
        <v>#DIV/0!</v>
      </c>
      <c r="BU69" t="e">
        <f t="shared" si="8"/>
        <v>#DIV/0!</v>
      </c>
    </row>
    <row r="70" spans="1:73" hidden="1" x14ac:dyDescent="0.25">
      <c r="A70" s="1">
        <v>45659.621527777781</v>
      </c>
      <c r="B70">
        <v>-3.4</v>
      </c>
      <c r="C70">
        <v>189950</v>
      </c>
      <c r="D70">
        <v>174</v>
      </c>
      <c r="E70">
        <v>53225</v>
      </c>
      <c r="F70">
        <v>744600</v>
      </c>
      <c r="G70">
        <v>-0.85</v>
      </c>
      <c r="H70">
        <v>-3.4</v>
      </c>
      <c r="I70">
        <v>-691375</v>
      </c>
      <c r="J70">
        <v>-665.25</v>
      </c>
      <c r="K70">
        <v>19475</v>
      </c>
      <c r="L70">
        <v>9425</v>
      </c>
      <c r="M70" t="s">
        <v>20</v>
      </c>
      <c r="N70">
        <v>-16300</v>
      </c>
      <c r="O70" t="s">
        <v>20</v>
      </c>
      <c r="P70">
        <v>24105.200000000001</v>
      </c>
      <c r="Q70">
        <v>24306.400000000001</v>
      </c>
      <c r="R70">
        <v>24303</v>
      </c>
      <c r="S70">
        <v>24314</v>
      </c>
      <c r="T70">
        <v>24295</v>
      </c>
      <c r="U70" s="1">
        <v>45659.621527777781</v>
      </c>
      <c r="V70">
        <v>3.6</v>
      </c>
      <c r="W70">
        <v>360150</v>
      </c>
      <c r="X70">
        <v>173</v>
      </c>
      <c r="Y70">
        <v>126825</v>
      </c>
      <c r="Z70">
        <v>135225</v>
      </c>
      <c r="AA70">
        <v>2.35</v>
      </c>
      <c r="AB70">
        <v>2.65</v>
      </c>
      <c r="AC70">
        <v>-8400</v>
      </c>
      <c r="AD70">
        <v>-285.85000000000002</v>
      </c>
      <c r="AE70">
        <v>41475</v>
      </c>
      <c r="AF70">
        <v>-957000</v>
      </c>
      <c r="AG70" t="s">
        <v>22</v>
      </c>
      <c r="AH70">
        <v>-6525</v>
      </c>
      <c r="AI70" t="s">
        <v>22</v>
      </c>
      <c r="AJ70">
        <v>313.2</v>
      </c>
      <c r="AK70">
        <v>316.8</v>
      </c>
      <c r="AL70">
        <v>331.2</v>
      </c>
      <c r="AM70">
        <v>309.25</v>
      </c>
      <c r="AN70">
        <v>109.39</v>
      </c>
      <c r="AO70" s="1">
        <v>45659.621527777781</v>
      </c>
      <c r="AP70">
        <v>0</v>
      </c>
      <c r="AQ70">
        <v>12538575</v>
      </c>
      <c r="AR70">
        <v>180</v>
      </c>
      <c r="AS70">
        <v>76350525</v>
      </c>
      <c r="AT70">
        <v>60094875</v>
      </c>
      <c r="AU70">
        <v>0.05</v>
      </c>
      <c r="AV70">
        <v>0.05</v>
      </c>
      <c r="AW70">
        <v>16255650</v>
      </c>
      <c r="AX70">
        <v>-17.8</v>
      </c>
      <c r="AY70">
        <v>121050</v>
      </c>
      <c r="AZ70">
        <v>-194100</v>
      </c>
      <c r="BA70" t="s">
        <v>21</v>
      </c>
      <c r="BB70">
        <v>-324750</v>
      </c>
      <c r="BC70" t="s">
        <v>21</v>
      </c>
      <c r="BD70">
        <v>0.85</v>
      </c>
      <c r="BE70">
        <v>0.85</v>
      </c>
      <c r="BF70">
        <v>1.05</v>
      </c>
      <c r="BG70">
        <v>0.75</v>
      </c>
      <c r="BH70">
        <v>39.270000000000003</v>
      </c>
      <c r="BI70" s="1">
        <v>45659.621527777781</v>
      </c>
      <c r="BJ70">
        <v>1735809900</v>
      </c>
      <c r="BK70">
        <v>13.72</v>
      </c>
      <c r="BL70">
        <v>13.8</v>
      </c>
      <c r="BM70">
        <v>13.71</v>
      </c>
      <c r="BN70">
        <v>13.78</v>
      </c>
      <c r="BO70">
        <v>0</v>
      </c>
      <c r="BP70">
        <f t="shared" si="6"/>
        <v>3.4000000000014552</v>
      </c>
      <c r="BQ70">
        <f t="shared" si="7"/>
        <v>5.9999999999998721E-2</v>
      </c>
      <c r="BR70">
        <f t="shared" si="5"/>
        <v>0.56666666666692134</v>
      </c>
      <c r="BT70">
        <f t="shared" si="9"/>
        <v>2.472727272728278E-3</v>
      </c>
      <c r="BU70">
        <f t="shared" si="8"/>
        <v>1</v>
      </c>
    </row>
    <row r="71" spans="1:73" x14ac:dyDescent="0.25">
      <c r="A71" s="1">
        <v>45659.625</v>
      </c>
      <c r="B71">
        <v>-21.45</v>
      </c>
      <c r="C71">
        <v>168850</v>
      </c>
      <c r="D71">
        <v>179</v>
      </c>
      <c r="E71">
        <v>70900</v>
      </c>
      <c r="F71">
        <v>112925</v>
      </c>
      <c r="G71">
        <v>-21.45</v>
      </c>
      <c r="H71">
        <v>-20.25</v>
      </c>
      <c r="I71">
        <v>-42025</v>
      </c>
      <c r="J71">
        <v>-1283.1500000000001</v>
      </c>
      <c r="K71">
        <v>25450</v>
      </c>
      <c r="L71">
        <v>2925</v>
      </c>
      <c r="M71" t="s">
        <v>21</v>
      </c>
      <c r="N71">
        <v>20250</v>
      </c>
      <c r="O71" t="s">
        <v>21</v>
      </c>
      <c r="P71">
        <v>24109.33</v>
      </c>
      <c r="Q71">
        <v>24303</v>
      </c>
      <c r="R71">
        <v>24281.55</v>
      </c>
      <c r="S71">
        <v>24306.3</v>
      </c>
      <c r="T71">
        <v>24273.45</v>
      </c>
      <c r="U71" s="1">
        <v>45659.625</v>
      </c>
      <c r="V71">
        <v>-24.55</v>
      </c>
      <c r="W71">
        <v>540975</v>
      </c>
      <c r="X71">
        <v>179</v>
      </c>
      <c r="Y71">
        <v>171075</v>
      </c>
      <c r="Z71">
        <v>193575</v>
      </c>
      <c r="AA71">
        <v>-22.75</v>
      </c>
      <c r="AB71">
        <v>-22.9</v>
      </c>
      <c r="AC71">
        <v>-22500</v>
      </c>
      <c r="AD71">
        <v>-293.10000000000002</v>
      </c>
      <c r="AE71">
        <v>53100</v>
      </c>
      <c r="AF71">
        <v>-2636475</v>
      </c>
      <c r="AG71" t="s">
        <v>21</v>
      </c>
      <c r="AH71">
        <v>4275</v>
      </c>
      <c r="AI71" t="s">
        <v>20</v>
      </c>
      <c r="AJ71">
        <v>316.75</v>
      </c>
      <c r="AK71">
        <v>292.2</v>
      </c>
      <c r="AL71">
        <v>316.75</v>
      </c>
      <c r="AM71">
        <v>278.45</v>
      </c>
      <c r="AN71">
        <v>109.83</v>
      </c>
      <c r="AO71" s="1">
        <v>45659.625</v>
      </c>
      <c r="AP71">
        <v>-0.35</v>
      </c>
      <c r="AQ71">
        <v>13576275</v>
      </c>
      <c r="AR71">
        <v>180</v>
      </c>
      <c r="AS71">
        <v>86488200</v>
      </c>
      <c r="AT71">
        <v>71310075</v>
      </c>
      <c r="AU71">
        <v>-0.35</v>
      </c>
      <c r="AV71">
        <v>-0.35</v>
      </c>
      <c r="AW71">
        <v>15178125</v>
      </c>
      <c r="AX71">
        <v>-18.45</v>
      </c>
      <c r="AY71">
        <v>122700</v>
      </c>
      <c r="AZ71">
        <v>-1840275</v>
      </c>
      <c r="BA71" t="s">
        <v>22</v>
      </c>
      <c r="BB71">
        <v>-39825</v>
      </c>
      <c r="BC71" t="s">
        <v>22</v>
      </c>
      <c r="BD71">
        <v>0.8</v>
      </c>
      <c r="BE71">
        <v>0.45</v>
      </c>
      <c r="BF71">
        <v>1.1000000000000001</v>
      </c>
      <c r="BG71">
        <v>0.4</v>
      </c>
      <c r="BH71">
        <v>38.049999999999997</v>
      </c>
      <c r="BI71" s="1">
        <v>45659.625</v>
      </c>
      <c r="BJ71">
        <v>1735810200</v>
      </c>
      <c r="BK71">
        <v>13.79</v>
      </c>
      <c r="BL71">
        <v>13.79</v>
      </c>
      <c r="BM71">
        <v>13.72</v>
      </c>
      <c r="BN71">
        <v>13.74</v>
      </c>
      <c r="BO71">
        <v>0</v>
      </c>
      <c r="BP71">
        <f t="shared" si="6"/>
        <v>21.450000000000728</v>
      </c>
      <c r="BQ71">
        <f t="shared" si="7"/>
        <v>4.9999999999998934E-2</v>
      </c>
      <c r="BR71">
        <f t="shared" si="5"/>
        <v>4.2900000000002372</v>
      </c>
      <c r="BT71">
        <f t="shared" si="9"/>
        <v>0.37852941176454863</v>
      </c>
      <c r="BU71">
        <f t="shared" si="8"/>
        <v>-1</v>
      </c>
    </row>
    <row r="72" spans="1:73" hidden="1" x14ac:dyDescent="0.25">
      <c r="A72" s="1">
        <v>45659.628472222219</v>
      </c>
      <c r="B72">
        <v>5.45</v>
      </c>
      <c r="C72">
        <v>112525</v>
      </c>
      <c r="D72">
        <v>175</v>
      </c>
      <c r="E72">
        <v>51275</v>
      </c>
      <c r="F72">
        <v>97750</v>
      </c>
      <c r="G72">
        <v>-0.9</v>
      </c>
      <c r="H72">
        <v>2.75</v>
      </c>
      <c r="I72">
        <v>-46475</v>
      </c>
      <c r="J72">
        <v>-1033.2</v>
      </c>
      <c r="K72">
        <v>20125</v>
      </c>
      <c r="L72">
        <v>13500</v>
      </c>
      <c r="M72" t="s">
        <v>20</v>
      </c>
      <c r="N72">
        <v>-1275</v>
      </c>
      <c r="O72" t="s">
        <v>22</v>
      </c>
      <c r="P72">
        <v>24111.88</v>
      </c>
      <c r="Q72">
        <v>24281.05</v>
      </c>
      <c r="R72">
        <v>24286.5</v>
      </c>
      <c r="S72">
        <v>24290</v>
      </c>
      <c r="T72">
        <v>24273.8</v>
      </c>
      <c r="U72" s="1">
        <v>45659.628472222219</v>
      </c>
      <c r="V72">
        <v>-1.1499999999999999</v>
      </c>
      <c r="W72">
        <v>295350</v>
      </c>
      <c r="X72">
        <v>177</v>
      </c>
      <c r="Y72">
        <v>128025</v>
      </c>
      <c r="Z72">
        <v>156375</v>
      </c>
      <c r="AA72">
        <v>-0.3</v>
      </c>
      <c r="AB72">
        <v>-0.4</v>
      </c>
      <c r="AC72">
        <v>-28350</v>
      </c>
      <c r="AD72">
        <v>-232.35</v>
      </c>
      <c r="AE72">
        <v>41700</v>
      </c>
      <c r="AF72">
        <v>-2028225</v>
      </c>
      <c r="AG72" t="s">
        <v>22</v>
      </c>
      <c r="AH72">
        <v>-8400</v>
      </c>
      <c r="AI72" t="s">
        <v>22</v>
      </c>
      <c r="AJ72">
        <v>293</v>
      </c>
      <c r="AK72">
        <v>291.85000000000002</v>
      </c>
      <c r="AL72">
        <v>295.75</v>
      </c>
      <c r="AM72">
        <v>278.3</v>
      </c>
      <c r="AN72">
        <v>110.07</v>
      </c>
      <c r="AO72" s="1">
        <v>45659.628472222219</v>
      </c>
      <c r="AP72">
        <v>-0.25</v>
      </c>
      <c r="AQ72">
        <v>5593350</v>
      </c>
      <c r="AR72">
        <v>180</v>
      </c>
      <c r="AS72">
        <v>343623375</v>
      </c>
      <c r="AT72">
        <v>154804425</v>
      </c>
      <c r="AU72">
        <v>-0.25</v>
      </c>
      <c r="AV72">
        <v>-0.25</v>
      </c>
      <c r="AW72">
        <v>188818950</v>
      </c>
      <c r="AX72">
        <v>-17.899999999999999</v>
      </c>
      <c r="AY72">
        <v>122400</v>
      </c>
      <c r="AZ72">
        <v>-8371275</v>
      </c>
      <c r="BA72" t="s">
        <v>22</v>
      </c>
      <c r="BB72">
        <v>48825</v>
      </c>
      <c r="BC72" t="s">
        <v>22</v>
      </c>
      <c r="BD72">
        <v>0.45</v>
      </c>
      <c r="BE72">
        <v>0.2</v>
      </c>
      <c r="BF72">
        <v>0.5</v>
      </c>
      <c r="BG72">
        <v>0.2</v>
      </c>
      <c r="BH72">
        <v>37.57</v>
      </c>
      <c r="BI72" s="1">
        <v>45659.628472222219</v>
      </c>
      <c r="BJ72">
        <v>1735810500</v>
      </c>
      <c r="BK72">
        <v>13.73</v>
      </c>
      <c r="BL72">
        <v>13.77</v>
      </c>
      <c r="BM72">
        <v>13.73</v>
      </c>
      <c r="BN72">
        <v>13.77</v>
      </c>
      <c r="BO72">
        <v>0</v>
      </c>
      <c r="BP72">
        <f t="shared" si="6"/>
        <v>5.4500000000007276</v>
      </c>
      <c r="BQ72">
        <f t="shared" si="7"/>
        <v>3.9999999999999147E-2</v>
      </c>
      <c r="BR72">
        <f t="shared" si="5"/>
        <v>1.362500000000211</v>
      </c>
      <c r="BT72">
        <f t="shared" si="9"/>
        <v>1.2703962703963699E-2</v>
      </c>
      <c r="BU72">
        <f t="shared" si="8"/>
        <v>1</v>
      </c>
    </row>
    <row r="73" spans="1:73" x14ac:dyDescent="0.25">
      <c r="A73" s="1">
        <v>45659.631944444445</v>
      </c>
      <c r="B73">
        <v>-0.15</v>
      </c>
      <c r="C73">
        <v>124125</v>
      </c>
      <c r="D73">
        <v>178</v>
      </c>
      <c r="E73">
        <v>90900</v>
      </c>
      <c r="F73">
        <v>79175</v>
      </c>
      <c r="G73">
        <v>-0.2</v>
      </c>
      <c r="H73">
        <v>-0.7</v>
      </c>
      <c r="I73">
        <v>11725</v>
      </c>
      <c r="J73">
        <v>-1672.5</v>
      </c>
      <c r="K73">
        <v>20925</v>
      </c>
      <c r="L73">
        <v>-6425</v>
      </c>
      <c r="M73" t="s">
        <v>21</v>
      </c>
      <c r="N73">
        <v>-1150</v>
      </c>
      <c r="O73" t="s">
        <v>20</v>
      </c>
      <c r="P73">
        <v>24114.69</v>
      </c>
      <c r="Q73">
        <v>24286.45</v>
      </c>
      <c r="R73">
        <v>24286.3</v>
      </c>
      <c r="S73">
        <v>24289.35</v>
      </c>
      <c r="T73">
        <v>24278.25</v>
      </c>
      <c r="U73" s="1">
        <v>45659.631944444445</v>
      </c>
      <c r="V73">
        <v>-3.75</v>
      </c>
      <c r="W73">
        <v>224475</v>
      </c>
      <c r="X73">
        <v>177</v>
      </c>
      <c r="Y73">
        <v>105975</v>
      </c>
      <c r="Z73">
        <v>153375</v>
      </c>
      <c r="AA73">
        <v>-3.25</v>
      </c>
      <c r="AB73">
        <v>-3.25</v>
      </c>
      <c r="AC73">
        <v>-47400</v>
      </c>
      <c r="AD73">
        <v>-236.45</v>
      </c>
      <c r="AE73">
        <v>46725</v>
      </c>
      <c r="AF73">
        <v>-1614975</v>
      </c>
      <c r="AG73" t="s">
        <v>22</v>
      </c>
      <c r="AH73">
        <v>5025</v>
      </c>
      <c r="AI73" t="s">
        <v>20</v>
      </c>
      <c r="AJ73">
        <v>292</v>
      </c>
      <c r="AK73">
        <v>288.25</v>
      </c>
      <c r="AL73">
        <v>295.7</v>
      </c>
      <c r="AM73">
        <v>288</v>
      </c>
      <c r="AN73">
        <v>110.25</v>
      </c>
      <c r="AO73" s="1">
        <v>45659.631944444445</v>
      </c>
      <c r="AP73">
        <v>-0.1</v>
      </c>
      <c r="AQ73">
        <v>4061925</v>
      </c>
      <c r="AR73">
        <v>180</v>
      </c>
      <c r="AS73">
        <v>472348275</v>
      </c>
      <c r="AT73">
        <v>213122325</v>
      </c>
      <c r="AU73">
        <v>-0.1</v>
      </c>
      <c r="AV73">
        <v>-0.1</v>
      </c>
      <c r="AW73">
        <v>259225950</v>
      </c>
      <c r="AX73">
        <v>-17.75</v>
      </c>
      <c r="AY73">
        <v>118725</v>
      </c>
      <c r="AZ73">
        <v>-3270900</v>
      </c>
      <c r="BA73" t="s">
        <v>21</v>
      </c>
      <c r="BB73">
        <v>520950</v>
      </c>
      <c r="BC73" t="s">
        <v>22</v>
      </c>
      <c r="BD73">
        <v>0.25</v>
      </c>
      <c r="BE73">
        <v>0.15</v>
      </c>
      <c r="BF73">
        <v>0.25</v>
      </c>
      <c r="BG73">
        <v>0.1</v>
      </c>
      <c r="BH73">
        <v>37.229999999999997</v>
      </c>
      <c r="BI73" s="1">
        <v>45659.631944444445</v>
      </c>
      <c r="BJ73">
        <v>1735810800</v>
      </c>
      <c r="BK73">
        <v>13.77</v>
      </c>
      <c r="BL73">
        <v>13.81</v>
      </c>
      <c r="BM73">
        <v>13.76</v>
      </c>
      <c r="BN73">
        <v>13.77</v>
      </c>
      <c r="BO73">
        <v>0</v>
      </c>
      <c r="BP73">
        <f t="shared" si="6"/>
        <v>0.15000000000145519</v>
      </c>
      <c r="BQ73">
        <f t="shared" si="7"/>
        <v>0</v>
      </c>
      <c r="BR73" t="e">
        <f t="shared" si="5"/>
        <v>#DIV/0!</v>
      </c>
      <c r="BT73">
        <f t="shared" si="9"/>
        <v>1.1009174312031705E-3</v>
      </c>
      <c r="BU73">
        <f t="shared" si="8"/>
        <v>-1</v>
      </c>
    </row>
    <row r="74" spans="1:73" hidden="1" x14ac:dyDescent="0.25">
      <c r="A74" s="1">
        <v>45659.635416666664</v>
      </c>
      <c r="B74">
        <v>3.55</v>
      </c>
      <c r="C74">
        <v>126525</v>
      </c>
      <c r="D74">
        <v>177</v>
      </c>
      <c r="E74">
        <v>101875</v>
      </c>
      <c r="F74">
        <v>440550</v>
      </c>
      <c r="G74">
        <v>3.55</v>
      </c>
      <c r="H74">
        <v>-2.2000000000000002</v>
      </c>
      <c r="I74">
        <v>-338675</v>
      </c>
      <c r="J74">
        <v>-933.55</v>
      </c>
      <c r="K74">
        <v>17800</v>
      </c>
      <c r="L74">
        <v>10400</v>
      </c>
      <c r="M74" t="s">
        <v>20</v>
      </c>
      <c r="N74">
        <v>-14775</v>
      </c>
      <c r="O74" t="s">
        <v>22</v>
      </c>
      <c r="P74">
        <v>24117.46</v>
      </c>
      <c r="Q74">
        <v>24279.45</v>
      </c>
      <c r="R74">
        <v>24283</v>
      </c>
      <c r="S74">
        <v>24287</v>
      </c>
      <c r="T74">
        <v>24277.55</v>
      </c>
      <c r="U74" s="1">
        <v>45659.635416666664</v>
      </c>
      <c r="V74">
        <v>2.65</v>
      </c>
      <c r="W74">
        <v>306900</v>
      </c>
      <c r="X74">
        <v>173</v>
      </c>
      <c r="Y74">
        <v>297750</v>
      </c>
      <c r="Z74">
        <v>151425</v>
      </c>
      <c r="AA74">
        <v>2.35</v>
      </c>
      <c r="AB74">
        <v>2.15</v>
      </c>
      <c r="AC74">
        <v>146325</v>
      </c>
      <c r="AD74">
        <v>-160.1</v>
      </c>
      <c r="AE74">
        <v>49650</v>
      </c>
      <c r="AF74">
        <v>-593475</v>
      </c>
      <c r="AG74" t="s">
        <v>22</v>
      </c>
      <c r="AH74">
        <v>-11625</v>
      </c>
      <c r="AI74" t="s">
        <v>22</v>
      </c>
      <c r="AJ74">
        <v>288.05</v>
      </c>
      <c r="AK74">
        <v>290.7</v>
      </c>
      <c r="AL74">
        <v>291.75</v>
      </c>
      <c r="AM74">
        <v>287.05</v>
      </c>
      <c r="AN74">
        <v>110.49</v>
      </c>
      <c r="AO74" s="1">
        <v>45659.635416666664</v>
      </c>
      <c r="AP74">
        <v>0</v>
      </c>
      <c r="AQ74">
        <v>2289975</v>
      </c>
      <c r="AR74">
        <v>180</v>
      </c>
      <c r="AS74">
        <v>1005787725</v>
      </c>
      <c r="AT74">
        <v>324993300</v>
      </c>
      <c r="AU74">
        <v>0</v>
      </c>
      <c r="AV74">
        <v>0</v>
      </c>
      <c r="AW74">
        <v>680794425</v>
      </c>
      <c r="AX74">
        <v>-17.850000000000001</v>
      </c>
      <c r="AY74">
        <v>96150</v>
      </c>
      <c r="AZ74">
        <v>-2485050</v>
      </c>
      <c r="BA74" t="s">
        <v>21</v>
      </c>
      <c r="BB74">
        <v>-525</v>
      </c>
      <c r="BC74" t="s">
        <v>21</v>
      </c>
      <c r="BD74">
        <v>0.15</v>
      </c>
      <c r="BE74">
        <v>0.15</v>
      </c>
      <c r="BF74">
        <v>0.15</v>
      </c>
      <c r="BG74">
        <v>0.1</v>
      </c>
      <c r="BH74">
        <v>37.03</v>
      </c>
      <c r="BI74" s="1">
        <v>45659.635416666664</v>
      </c>
      <c r="BJ74">
        <v>1735811100</v>
      </c>
      <c r="BK74">
        <v>13.78</v>
      </c>
      <c r="BL74">
        <v>13.79</v>
      </c>
      <c r="BM74">
        <v>13.72</v>
      </c>
      <c r="BN74">
        <v>13.74</v>
      </c>
      <c r="BO74">
        <v>0</v>
      </c>
      <c r="BP74">
        <f t="shared" si="6"/>
        <v>3.5499999999992724</v>
      </c>
      <c r="BQ74">
        <f t="shared" si="7"/>
        <v>3.9999999999999147E-2</v>
      </c>
      <c r="BR74">
        <f t="shared" si="5"/>
        <v>0.88749999999983709</v>
      </c>
      <c r="BT74" t="e">
        <f t="shared" si="9"/>
        <v>#DIV/0!</v>
      </c>
      <c r="BU74" t="e">
        <f t="shared" si="8"/>
        <v>#DIV/0!</v>
      </c>
    </row>
    <row r="75" spans="1:73" hidden="1" x14ac:dyDescent="0.25">
      <c r="A75" s="1">
        <v>45659.638888888891</v>
      </c>
      <c r="B75">
        <v>5.15</v>
      </c>
      <c r="C75">
        <v>278475</v>
      </c>
      <c r="D75">
        <v>181</v>
      </c>
      <c r="E75">
        <v>447350</v>
      </c>
      <c r="F75">
        <v>101450</v>
      </c>
      <c r="G75">
        <v>2.8</v>
      </c>
      <c r="H75">
        <v>4.5999999999999996</v>
      </c>
      <c r="I75">
        <v>345900</v>
      </c>
      <c r="J75">
        <v>-860.55</v>
      </c>
      <c r="K75">
        <v>27150</v>
      </c>
      <c r="L75">
        <v>-6400</v>
      </c>
      <c r="M75" t="s">
        <v>21</v>
      </c>
      <c r="N75">
        <v>43175</v>
      </c>
      <c r="O75" t="s">
        <v>21</v>
      </c>
      <c r="P75">
        <v>24123.25</v>
      </c>
      <c r="Q75">
        <v>24282.2</v>
      </c>
      <c r="R75">
        <v>24287.35</v>
      </c>
      <c r="S75">
        <v>24289.8</v>
      </c>
      <c r="T75">
        <v>24282</v>
      </c>
      <c r="U75" s="1">
        <v>45659.638888888891</v>
      </c>
      <c r="V75">
        <v>-0.7</v>
      </c>
      <c r="W75">
        <v>202050</v>
      </c>
      <c r="X75">
        <v>173</v>
      </c>
      <c r="Y75">
        <v>552525</v>
      </c>
      <c r="Z75">
        <v>189150</v>
      </c>
      <c r="AA75">
        <v>-0.15</v>
      </c>
      <c r="AB75">
        <v>-0.2</v>
      </c>
      <c r="AC75">
        <v>363375</v>
      </c>
      <c r="AD75">
        <v>-119.95</v>
      </c>
      <c r="AE75">
        <v>40875</v>
      </c>
      <c r="AF75">
        <v>-497550</v>
      </c>
      <c r="AG75" t="s">
        <v>22</v>
      </c>
      <c r="AH75">
        <v>-6075</v>
      </c>
      <c r="AI75" t="s">
        <v>20</v>
      </c>
      <c r="AJ75">
        <v>290.2</v>
      </c>
      <c r="AK75">
        <v>289.5</v>
      </c>
      <c r="AL75">
        <v>291.5</v>
      </c>
      <c r="AM75">
        <v>289.3</v>
      </c>
      <c r="AN75">
        <v>110.65</v>
      </c>
      <c r="AO75" s="1">
        <v>45659.638888888891</v>
      </c>
      <c r="AP75">
        <v>-0.05</v>
      </c>
      <c r="AQ75">
        <v>2657700</v>
      </c>
      <c r="AR75">
        <v>178</v>
      </c>
      <c r="AS75">
        <v>1084439325</v>
      </c>
      <c r="AT75">
        <v>414095250</v>
      </c>
      <c r="AU75">
        <v>-0.05</v>
      </c>
      <c r="AV75">
        <v>-0.05</v>
      </c>
      <c r="AW75">
        <v>670344075</v>
      </c>
      <c r="AX75">
        <v>-17.7</v>
      </c>
      <c r="AY75">
        <v>129675</v>
      </c>
      <c r="AZ75">
        <v>-3819525</v>
      </c>
      <c r="BA75" t="s">
        <v>22</v>
      </c>
      <c r="BB75">
        <v>502350</v>
      </c>
      <c r="BC75" t="s">
        <v>22</v>
      </c>
      <c r="BD75">
        <v>0.1</v>
      </c>
      <c r="BE75">
        <v>0.05</v>
      </c>
      <c r="BF75">
        <v>0.15</v>
      </c>
      <c r="BG75">
        <v>0.05</v>
      </c>
      <c r="BH75">
        <v>36.81</v>
      </c>
      <c r="BI75" s="1">
        <v>45659.638888888891</v>
      </c>
      <c r="BJ75">
        <v>1735811400</v>
      </c>
      <c r="BK75">
        <v>13.74</v>
      </c>
      <c r="BL75">
        <v>13.74</v>
      </c>
      <c r="BM75">
        <v>13.65</v>
      </c>
      <c r="BN75">
        <v>13.66</v>
      </c>
      <c r="BO75">
        <v>0</v>
      </c>
      <c r="BP75">
        <f t="shared" si="6"/>
        <v>5.1499999999978172</v>
      </c>
      <c r="BQ75">
        <f t="shared" si="7"/>
        <v>8.0000000000000071E-2</v>
      </c>
      <c r="BR75">
        <f t="shared" si="5"/>
        <v>0.6437499999997266</v>
      </c>
      <c r="BT75">
        <f t="shared" si="9"/>
        <v>5.8028169014070569E-2</v>
      </c>
      <c r="BU75">
        <f t="shared" si="8"/>
        <v>1</v>
      </c>
    </row>
    <row r="76" spans="1:73" x14ac:dyDescent="0.25">
      <c r="A76" s="1">
        <v>45659.642361111109</v>
      </c>
      <c r="B76">
        <v>-16.55</v>
      </c>
      <c r="C76">
        <v>278650</v>
      </c>
      <c r="D76">
        <v>182</v>
      </c>
      <c r="E76">
        <v>231300</v>
      </c>
      <c r="F76">
        <v>511325</v>
      </c>
      <c r="G76">
        <v>-14.85</v>
      </c>
      <c r="H76">
        <v>-13.3</v>
      </c>
      <c r="I76">
        <v>-280025</v>
      </c>
      <c r="J76">
        <v>-435.05</v>
      </c>
      <c r="K76">
        <v>17625</v>
      </c>
      <c r="L76">
        <v>-93075</v>
      </c>
      <c r="M76" t="s">
        <v>21</v>
      </c>
      <c r="N76">
        <v>-52300</v>
      </c>
      <c r="O76" t="s">
        <v>22</v>
      </c>
      <c r="P76">
        <v>24128.19</v>
      </c>
      <c r="Q76">
        <v>24286.65</v>
      </c>
      <c r="R76">
        <v>24270.1</v>
      </c>
      <c r="S76">
        <v>24287.5</v>
      </c>
      <c r="T76">
        <v>24268</v>
      </c>
      <c r="U76" s="1">
        <v>45659.642361111109</v>
      </c>
      <c r="V76">
        <v>-0.45</v>
      </c>
      <c r="W76">
        <v>202275</v>
      </c>
      <c r="X76">
        <v>172</v>
      </c>
      <c r="Y76">
        <v>510600</v>
      </c>
      <c r="Z76">
        <v>186975</v>
      </c>
      <c r="AA76">
        <v>-0.6</v>
      </c>
      <c r="AB76">
        <v>-0.95</v>
      </c>
      <c r="AC76">
        <v>323625</v>
      </c>
      <c r="AD76">
        <v>-77.099999999999994</v>
      </c>
      <c r="AE76">
        <v>52875</v>
      </c>
      <c r="AF76">
        <v>-12252000</v>
      </c>
      <c r="AG76" t="s">
        <v>21</v>
      </c>
      <c r="AH76">
        <v>-42675</v>
      </c>
      <c r="AI76" t="s">
        <v>22</v>
      </c>
      <c r="AJ76">
        <v>289.5</v>
      </c>
      <c r="AK76">
        <v>289.05</v>
      </c>
      <c r="AL76">
        <v>290.2</v>
      </c>
      <c r="AM76">
        <v>288.5</v>
      </c>
      <c r="AN76">
        <v>110.81</v>
      </c>
      <c r="AO76" s="1">
        <v>45659.642361111109</v>
      </c>
      <c r="AP76">
        <v>-0.05</v>
      </c>
      <c r="AQ76">
        <v>1748025</v>
      </c>
      <c r="AR76">
        <v>176</v>
      </c>
      <c r="AS76">
        <v>383091975</v>
      </c>
      <c r="AT76">
        <v>267996900</v>
      </c>
      <c r="AU76">
        <v>-0.05</v>
      </c>
      <c r="AV76">
        <v>-0.05</v>
      </c>
      <c r="AW76">
        <v>115095075</v>
      </c>
      <c r="AX76">
        <v>-16.55</v>
      </c>
      <c r="AY76">
        <v>126450</v>
      </c>
      <c r="AZ76">
        <v>-2396625</v>
      </c>
      <c r="BA76" t="s">
        <v>21</v>
      </c>
      <c r="BB76">
        <v>-2169750</v>
      </c>
      <c r="BC76" t="s">
        <v>21</v>
      </c>
      <c r="BD76">
        <v>0.1</v>
      </c>
      <c r="BE76">
        <v>0.05</v>
      </c>
      <c r="BF76">
        <v>0.1</v>
      </c>
      <c r="BG76">
        <v>0.05</v>
      </c>
      <c r="BH76">
        <v>36.67</v>
      </c>
      <c r="BI76" s="1">
        <v>45659.642361111109</v>
      </c>
      <c r="BJ76">
        <v>1735811700</v>
      </c>
      <c r="BK76">
        <v>13.65</v>
      </c>
      <c r="BL76">
        <v>13.72</v>
      </c>
      <c r="BM76">
        <v>13.63</v>
      </c>
      <c r="BN76">
        <v>13.65</v>
      </c>
      <c r="BO76">
        <v>0</v>
      </c>
      <c r="BP76">
        <f t="shared" si="6"/>
        <v>16.55000000000291</v>
      </c>
      <c r="BQ76">
        <f t="shared" si="7"/>
        <v>0</v>
      </c>
      <c r="BR76" t="e">
        <f t="shared" si="5"/>
        <v>#DIV/0!</v>
      </c>
      <c r="BT76">
        <f t="shared" si="9"/>
        <v>0.25708737864093112</v>
      </c>
      <c r="BU76">
        <f t="shared" si="8"/>
        <v>-1</v>
      </c>
    </row>
  </sheetData>
  <autoFilter ref="A1:BU76" xr:uid="{F066F44C-8F2E-4B5C-9BDA-FAEDA1E8373B}">
    <filterColumn colId="72">
      <filters blank="1"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28-03-2025_05m_NIFTY25APRFUT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2025-09-14T05:28:45Z</dcterms:created>
  <dcterms:modified xsi:type="dcterms:W3CDTF">2025-09-15T13:43:15Z</dcterms:modified>
</cp:coreProperties>
</file>