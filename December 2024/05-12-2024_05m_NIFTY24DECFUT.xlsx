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lee\Fyers_copy\"/>
    </mc:Choice>
  </mc:AlternateContent>
  <xr:revisionPtr revIDLastSave="0" documentId="8_{5C90F64F-B30A-49F4-A351-BBBAE357481B}" xr6:coauthVersionLast="47" xr6:coauthVersionMax="47" xr10:uidLastSave="{00000000-0000-0000-0000-000000000000}"/>
  <bookViews>
    <workbookView xWindow="-120" yWindow="-120" windowWidth="20730" windowHeight="11040" xr2:uid="{BFCC5027-CFBD-4020-980F-6CE76C058219}"/>
  </bookViews>
  <sheets>
    <sheet name="05-12-2024_05m_NIFTY24DECFUT" sheetId="1" r:id="rId1"/>
  </sheets>
  <calcPr calcId="0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2" i="1"/>
</calcChain>
</file>

<file path=xl/sharedStrings.xml><?xml version="1.0" encoding="utf-8"?>
<sst xmlns="http://schemas.openxmlformats.org/spreadsheetml/2006/main" count="32" uniqueCount="12">
  <si>
    <t>last_traded_time</t>
  </si>
  <si>
    <t>ltp</t>
  </si>
  <si>
    <t>vol_traded_today</t>
  </si>
  <si>
    <t>bid_size</t>
  </si>
  <si>
    <t>ask_size</t>
  </si>
  <si>
    <t>bid_price</t>
  </si>
  <si>
    <t>ask_price</t>
  </si>
  <si>
    <t>last_traded_qty</t>
  </si>
  <si>
    <t>tot_buy_qty</t>
  </si>
  <si>
    <t>tot_sell_qty</t>
  </si>
  <si>
    <t>avg_trade_price</t>
  </si>
  <si>
    <t>ratio_atp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</si>
</sst>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22" fontId="0" fillId="33" borderId="0" xfId="0" applyNumberForma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BB2C7-41DD-4DE0-9693-D5E9BF774753}">
  <dimension ref="A1:AF76"/>
  <sheetViews>
    <sheetView tabSelected="1" workbookViewId="0">
      <pane ySplit="1" topLeftCell="A61" activePane="bottomLeft" state="frozen"/>
      <selection pane="bottomLeft" activeCell="E69" sqref="E69"/>
    </sheetView>
  </sheetViews>
  <sheetFormatPr defaultRowHeight="15" x14ac:dyDescent="0.25"/>
  <cols>
    <col min="1" max="1" width="16.28515625" bestFit="1" customWidth="1"/>
    <col min="22" max="22" width="10.28515625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  <c r="W1" t="s">
        <v>1</v>
      </c>
      <c r="X1" t="s">
        <v>2</v>
      </c>
      <c r="Y1" t="s">
        <v>3</v>
      </c>
      <c r="Z1" t="s">
        <v>4</v>
      </c>
      <c r="AA1" t="s">
        <v>5</v>
      </c>
      <c r="AB1" t="s">
        <v>6</v>
      </c>
      <c r="AC1" t="s">
        <v>7</v>
      </c>
      <c r="AD1" t="s">
        <v>8</v>
      </c>
      <c r="AE1" t="s">
        <v>9</v>
      </c>
      <c r="AF1" t="s">
        <v>10</v>
      </c>
    </row>
    <row r="2" spans="1:32" x14ac:dyDescent="0.25">
      <c r="A2" s="1">
        <v>45424.385416666664</v>
      </c>
      <c r="B2">
        <v>-6.7</v>
      </c>
      <c r="C2">
        <v>125750</v>
      </c>
      <c r="D2">
        <v>-2325</v>
      </c>
      <c r="E2">
        <v>-100</v>
      </c>
      <c r="F2">
        <v>-5.35</v>
      </c>
      <c r="G2">
        <v>-3.55</v>
      </c>
      <c r="H2">
        <v>20250</v>
      </c>
      <c r="I2">
        <v>65025</v>
      </c>
      <c r="J2">
        <v>110350</v>
      </c>
      <c r="K2">
        <v>5.53</v>
      </c>
      <c r="L2">
        <f>V2/AF2</f>
        <v>-6.1281337047353765E-2</v>
      </c>
      <c r="M2">
        <v>-3.55</v>
      </c>
      <c r="N2">
        <v>6771850</v>
      </c>
      <c r="O2">
        <v>75</v>
      </c>
      <c r="P2">
        <v>325</v>
      </c>
      <c r="Q2">
        <v>-3.8</v>
      </c>
      <c r="R2">
        <v>-3.8</v>
      </c>
      <c r="S2">
        <v>25950</v>
      </c>
      <c r="T2">
        <v>6662550</v>
      </c>
      <c r="U2">
        <v>292475</v>
      </c>
      <c r="V2">
        <v>0.22</v>
      </c>
      <c r="W2">
        <v>-0.65</v>
      </c>
      <c r="X2">
        <v>1171125</v>
      </c>
      <c r="Y2">
        <v>-225</v>
      </c>
      <c r="Z2">
        <v>175</v>
      </c>
      <c r="AA2">
        <v>-1.65</v>
      </c>
      <c r="AB2">
        <v>-1.8</v>
      </c>
      <c r="AC2">
        <v>21075</v>
      </c>
      <c r="AD2">
        <v>5697100</v>
      </c>
      <c r="AE2">
        <v>56725</v>
      </c>
      <c r="AF2">
        <v>-3.59</v>
      </c>
    </row>
    <row r="3" spans="1:32" x14ac:dyDescent="0.25">
      <c r="A3" s="1">
        <v>45424.388888888891</v>
      </c>
      <c r="B3">
        <v>21.6</v>
      </c>
      <c r="C3">
        <v>77575</v>
      </c>
      <c r="D3">
        <v>-100</v>
      </c>
      <c r="E3">
        <v>0</v>
      </c>
      <c r="F3">
        <v>20.65</v>
      </c>
      <c r="G3">
        <v>15.25</v>
      </c>
      <c r="H3">
        <v>14175</v>
      </c>
      <c r="I3">
        <v>2100</v>
      </c>
      <c r="J3">
        <v>274225</v>
      </c>
      <c r="K3">
        <v>2.4900000000000002</v>
      </c>
      <c r="L3">
        <f t="shared" ref="L3:L66" si="0">V3/AF3</f>
        <v>-0.58823529411764708</v>
      </c>
      <c r="M3">
        <v>6.2</v>
      </c>
      <c r="N3">
        <v>6322900</v>
      </c>
      <c r="O3">
        <v>-54025</v>
      </c>
      <c r="P3">
        <v>750</v>
      </c>
      <c r="Q3">
        <v>6.75</v>
      </c>
      <c r="R3">
        <v>6.9</v>
      </c>
      <c r="S3">
        <v>27575</v>
      </c>
      <c r="T3">
        <v>872650</v>
      </c>
      <c r="U3">
        <v>129150</v>
      </c>
      <c r="V3">
        <v>1.4</v>
      </c>
      <c r="W3">
        <v>-6.7</v>
      </c>
      <c r="X3">
        <v>1364300</v>
      </c>
      <c r="Y3">
        <v>-100</v>
      </c>
      <c r="Z3">
        <v>-75</v>
      </c>
      <c r="AA3">
        <v>-7.6</v>
      </c>
      <c r="AB3">
        <v>-7.7</v>
      </c>
      <c r="AC3">
        <v>24850</v>
      </c>
      <c r="AD3">
        <v>363450</v>
      </c>
      <c r="AE3">
        <v>144950</v>
      </c>
      <c r="AF3">
        <v>-2.38</v>
      </c>
    </row>
    <row r="4" spans="1:32" x14ac:dyDescent="0.25">
      <c r="A4" s="1">
        <v>45424.392361111109</v>
      </c>
      <c r="B4">
        <v>7</v>
      </c>
      <c r="C4">
        <v>65200</v>
      </c>
      <c r="D4">
        <v>-200</v>
      </c>
      <c r="E4">
        <v>-200</v>
      </c>
      <c r="F4">
        <v>7.85</v>
      </c>
      <c r="G4">
        <v>8</v>
      </c>
      <c r="H4">
        <v>16200</v>
      </c>
      <c r="I4">
        <v>18325</v>
      </c>
      <c r="J4">
        <v>38650</v>
      </c>
      <c r="K4">
        <v>0.63</v>
      </c>
      <c r="L4">
        <f t="shared" si="0"/>
        <v>3.1944444444444442</v>
      </c>
      <c r="M4">
        <v>4.5</v>
      </c>
      <c r="N4">
        <v>6182175</v>
      </c>
      <c r="O4">
        <v>2075</v>
      </c>
      <c r="P4">
        <v>275</v>
      </c>
      <c r="Q4">
        <v>4.95</v>
      </c>
      <c r="R4">
        <v>5</v>
      </c>
      <c r="S4">
        <v>31375</v>
      </c>
      <c r="T4">
        <v>33150</v>
      </c>
      <c r="U4">
        <v>2600</v>
      </c>
      <c r="V4">
        <v>1.1499999999999999</v>
      </c>
      <c r="W4">
        <v>-4.6500000000000004</v>
      </c>
      <c r="X4">
        <v>1497050</v>
      </c>
      <c r="Y4">
        <v>-200</v>
      </c>
      <c r="Z4">
        <v>-600</v>
      </c>
      <c r="AA4">
        <v>-5.0999999999999996</v>
      </c>
      <c r="AB4">
        <v>-5.35</v>
      </c>
      <c r="AC4">
        <v>26450</v>
      </c>
      <c r="AD4">
        <v>-44100</v>
      </c>
      <c r="AE4">
        <v>-50925</v>
      </c>
      <c r="AF4">
        <v>0.36</v>
      </c>
    </row>
    <row r="5" spans="1:32" x14ac:dyDescent="0.25">
      <c r="A5" s="1">
        <v>45424.395833333336</v>
      </c>
      <c r="B5">
        <v>2.9</v>
      </c>
      <c r="C5">
        <v>53125</v>
      </c>
      <c r="D5">
        <v>0</v>
      </c>
      <c r="E5">
        <v>0</v>
      </c>
      <c r="F5">
        <v>4.3</v>
      </c>
      <c r="G5">
        <v>1.4</v>
      </c>
      <c r="H5">
        <v>14700</v>
      </c>
      <c r="I5">
        <v>-11925</v>
      </c>
      <c r="J5">
        <v>11475</v>
      </c>
      <c r="K5">
        <v>2.1</v>
      </c>
      <c r="L5">
        <f t="shared" si="0"/>
        <v>-2.7118644067796613</v>
      </c>
      <c r="M5">
        <v>8.6</v>
      </c>
      <c r="N5">
        <v>7220550</v>
      </c>
      <c r="O5">
        <v>1475</v>
      </c>
      <c r="P5">
        <v>175</v>
      </c>
      <c r="Q5">
        <v>10.050000000000001</v>
      </c>
      <c r="R5">
        <v>10.15</v>
      </c>
      <c r="S5">
        <v>28900</v>
      </c>
      <c r="T5">
        <v>25000</v>
      </c>
      <c r="U5">
        <v>-124425</v>
      </c>
      <c r="V5">
        <v>3.2</v>
      </c>
      <c r="W5">
        <v>4.75</v>
      </c>
      <c r="X5">
        <v>1523350</v>
      </c>
      <c r="Y5">
        <v>-375</v>
      </c>
      <c r="Z5">
        <v>1350</v>
      </c>
      <c r="AA5">
        <v>2.75</v>
      </c>
      <c r="AB5">
        <v>2.5499999999999998</v>
      </c>
      <c r="AC5">
        <v>28525</v>
      </c>
      <c r="AD5">
        <v>32350</v>
      </c>
      <c r="AE5">
        <v>3400</v>
      </c>
      <c r="AF5">
        <v>-1.18</v>
      </c>
    </row>
    <row r="6" spans="1:32" x14ac:dyDescent="0.25">
      <c r="A6" s="1">
        <v>45424.399305555555</v>
      </c>
      <c r="B6">
        <v>-40</v>
      </c>
      <c r="C6">
        <v>92600</v>
      </c>
      <c r="D6">
        <v>1850</v>
      </c>
      <c r="E6">
        <v>675</v>
      </c>
      <c r="F6">
        <v>-40</v>
      </c>
      <c r="G6">
        <v>-41.95</v>
      </c>
      <c r="H6">
        <v>16400</v>
      </c>
      <c r="I6">
        <v>-6425</v>
      </c>
      <c r="J6">
        <v>8225</v>
      </c>
      <c r="K6">
        <v>-3.26</v>
      </c>
      <c r="L6">
        <f t="shared" si="0"/>
        <v>0.31217838765008576</v>
      </c>
      <c r="M6">
        <v>-9.1</v>
      </c>
      <c r="N6">
        <v>8461100</v>
      </c>
      <c r="O6">
        <v>3075</v>
      </c>
      <c r="P6">
        <v>600</v>
      </c>
      <c r="Q6">
        <v>-10.25</v>
      </c>
      <c r="R6">
        <v>-10.25</v>
      </c>
      <c r="S6">
        <v>26825</v>
      </c>
      <c r="T6">
        <v>-186800</v>
      </c>
      <c r="U6">
        <v>91125</v>
      </c>
      <c r="V6">
        <v>1.82</v>
      </c>
      <c r="W6">
        <v>34.4</v>
      </c>
      <c r="X6">
        <v>2019875</v>
      </c>
      <c r="Y6">
        <v>175</v>
      </c>
      <c r="Z6">
        <v>100</v>
      </c>
      <c r="AA6">
        <v>35.700000000000003</v>
      </c>
      <c r="AB6">
        <v>35.75</v>
      </c>
      <c r="AC6">
        <v>24800</v>
      </c>
      <c r="AD6">
        <v>-40425</v>
      </c>
      <c r="AE6">
        <v>-92275</v>
      </c>
      <c r="AF6">
        <v>5.83</v>
      </c>
    </row>
    <row r="7" spans="1:32" x14ac:dyDescent="0.25">
      <c r="A7" s="1">
        <v>45424.402777777781</v>
      </c>
      <c r="B7">
        <v>14.5</v>
      </c>
      <c r="C7">
        <v>42625</v>
      </c>
      <c r="D7">
        <v>-2175</v>
      </c>
      <c r="E7">
        <v>-350</v>
      </c>
      <c r="F7">
        <v>10.6</v>
      </c>
      <c r="G7">
        <v>14.35</v>
      </c>
      <c r="H7">
        <v>7525</v>
      </c>
      <c r="I7">
        <v>10375</v>
      </c>
      <c r="J7">
        <v>-10800</v>
      </c>
      <c r="K7">
        <v>-1.93</v>
      </c>
      <c r="L7">
        <f t="shared" si="0"/>
        <v>8.4848484848484867E-2</v>
      </c>
      <c r="M7">
        <v>6.5</v>
      </c>
      <c r="N7">
        <v>2348575</v>
      </c>
      <c r="O7">
        <v>-25</v>
      </c>
      <c r="P7">
        <v>150</v>
      </c>
      <c r="Q7">
        <v>6.05</v>
      </c>
      <c r="R7">
        <v>6.05</v>
      </c>
      <c r="S7">
        <v>16900</v>
      </c>
      <c r="T7">
        <v>164375</v>
      </c>
      <c r="U7">
        <v>32225</v>
      </c>
      <c r="V7">
        <v>0.14000000000000001</v>
      </c>
      <c r="W7">
        <v>-8.4</v>
      </c>
      <c r="X7">
        <v>597600</v>
      </c>
      <c r="Y7">
        <v>-275</v>
      </c>
      <c r="Z7">
        <v>-50</v>
      </c>
      <c r="AA7">
        <v>-7.55</v>
      </c>
      <c r="AB7">
        <v>-7.6</v>
      </c>
      <c r="AC7">
        <v>12625</v>
      </c>
      <c r="AD7">
        <v>1125</v>
      </c>
      <c r="AE7">
        <v>42925</v>
      </c>
      <c r="AF7">
        <v>1.65</v>
      </c>
    </row>
    <row r="8" spans="1:32" x14ac:dyDescent="0.25">
      <c r="A8" s="1">
        <v>45424.40625</v>
      </c>
      <c r="B8">
        <v>-30.75</v>
      </c>
      <c r="C8">
        <v>84900</v>
      </c>
      <c r="D8">
        <v>375</v>
      </c>
      <c r="E8">
        <v>-100</v>
      </c>
      <c r="F8">
        <v>-30.85</v>
      </c>
      <c r="G8">
        <v>-30.85</v>
      </c>
      <c r="H8">
        <v>8625</v>
      </c>
      <c r="I8">
        <v>5850</v>
      </c>
      <c r="J8">
        <v>13900</v>
      </c>
      <c r="K8">
        <v>-7.35</v>
      </c>
      <c r="L8">
        <f t="shared" si="0"/>
        <v>-4.0322580645161296E-2</v>
      </c>
      <c r="M8">
        <v>-8.6</v>
      </c>
      <c r="N8">
        <v>3170275</v>
      </c>
      <c r="O8">
        <v>-525</v>
      </c>
      <c r="P8">
        <v>-2850</v>
      </c>
      <c r="Q8">
        <v>-8.8000000000000007</v>
      </c>
      <c r="R8">
        <v>-8.9</v>
      </c>
      <c r="S8">
        <v>17550</v>
      </c>
      <c r="T8">
        <v>-75400</v>
      </c>
      <c r="U8">
        <v>7975</v>
      </c>
      <c r="V8">
        <v>-0.2</v>
      </c>
      <c r="W8">
        <v>19.350000000000001</v>
      </c>
      <c r="X8">
        <v>887650</v>
      </c>
      <c r="Y8">
        <v>-75</v>
      </c>
      <c r="Z8">
        <v>-575</v>
      </c>
      <c r="AA8">
        <v>22.95</v>
      </c>
      <c r="AB8">
        <v>22.95</v>
      </c>
      <c r="AC8">
        <v>10875</v>
      </c>
      <c r="AD8">
        <v>-33675</v>
      </c>
      <c r="AE8">
        <v>-14925</v>
      </c>
      <c r="AF8">
        <v>4.96</v>
      </c>
    </row>
    <row r="9" spans="1:32" x14ac:dyDescent="0.25">
      <c r="A9" s="1">
        <v>45424.409722222219</v>
      </c>
      <c r="B9">
        <v>-19.350000000000001</v>
      </c>
      <c r="C9">
        <v>180525</v>
      </c>
      <c r="D9">
        <v>0</v>
      </c>
      <c r="E9">
        <v>0</v>
      </c>
      <c r="F9">
        <v>-18.45</v>
      </c>
      <c r="G9">
        <v>-18.3</v>
      </c>
      <c r="H9">
        <v>21150</v>
      </c>
      <c r="I9">
        <v>18425</v>
      </c>
      <c r="J9">
        <v>66900</v>
      </c>
      <c r="K9">
        <v>-13.47</v>
      </c>
      <c r="L9">
        <f t="shared" si="0"/>
        <v>-0.27114967462039041</v>
      </c>
      <c r="M9">
        <v>-11.3</v>
      </c>
      <c r="N9">
        <v>5779100</v>
      </c>
      <c r="O9">
        <v>1025</v>
      </c>
      <c r="P9">
        <v>350</v>
      </c>
      <c r="Q9">
        <v>-10.5</v>
      </c>
      <c r="R9">
        <v>-10.45</v>
      </c>
      <c r="S9">
        <v>33725</v>
      </c>
      <c r="T9">
        <v>-98875</v>
      </c>
      <c r="U9">
        <v>21600</v>
      </c>
      <c r="V9">
        <v>-1.25</v>
      </c>
      <c r="W9">
        <v>9.25</v>
      </c>
      <c r="X9">
        <v>846000</v>
      </c>
      <c r="Y9">
        <v>75</v>
      </c>
      <c r="Z9">
        <v>-475</v>
      </c>
      <c r="AA9">
        <v>9.0500000000000007</v>
      </c>
      <c r="AB9">
        <v>9.0500000000000007</v>
      </c>
      <c r="AC9">
        <v>25775</v>
      </c>
      <c r="AD9">
        <v>-25250</v>
      </c>
      <c r="AE9">
        <v>-1325</v>
      </c>
      <c r="AF9">
        <v>4.6100000000000003</v>
      </c>
    </row>
    <row r="10" spans="1:32" x14ac:dyDescent="0.25">
      <c r="A10" s="1">
        <v>45424.413194444445</v>
      </c>
      <c r="B10">
        <v>26.25</v>
      </c>
      <c r="C10">
        <v>62000</v>
      </c>
      <c r="D10">
        <v>350</v>
      </c>
      <c r="E10">
        <v>0</v>
      </c>
      <c r="F10">
        <v>26.55</v>
      </c>
      <c r="G10">
        <v>22.8</v>
      </c>
      <c r="H10">
        <v>15600</v>
      </c>
      <c r="I10">
        <v>42350</v>
      </c>
      <c r="J10">
        <v>5175</v>
      </c>
      <c r="K10">
        <v>-3.42</v>
      </c>
      <c r="L10">
        <f t="shared" si="0"/>
        <v>-0.42477876106194695</v>
      </c>
      <c r="M10">
        <v>5.65</v>
      </c>
      <c r="N10">
        <v>3945700</v>
      </c>
      <c r="O10">
        <v>-775</v>
      </c>
      <c r="P10">
        <v>-375</v>
      </c>
      <c r="Q10">
        <v>6.7</v>
      </c>
      <c r="R10">
        <v>6.65</v>
      </c>
      <c r="S10">
        <v>34850</v>
      </c>
      <c r="T10">
        <v>162850</v>
      </c>
      <c r="U10">
        <v>-7650</v>
      </c>
      <c r="V10">
        <v>-0.96</v>
      </c>
      <c r="W10">
        <v>-14.1</v>
      </c>
      <c r="X10">
        <v>513325</v>
      </c>
      <c r="Y10">
        <v>-100</v>
      </c>
      <c r="Z10">
        <v>300</v>
      </c>
      <c r="AA10">
        <v>-15.35</v>
      </c>
      <c r="AB10">
        <v>-15</v>
      </c>
      <c r="AC10">
        <v>24625</v>
      </c>
      <c r="AD10">
        <v>-33125</v>
      </c>
      <c r="AE10">
        <v>25175</v>
      </c>
      <c r="AF10">
        <v>2.2599999999999998</v>
      </c>
    </row>
    <row r="11" spans="1:32" x14ac:dyDescent="0.25">
      <c r="A11" s="1">
        <v>45424.416666666664</v>
      </c>
      <c r="B11">
        <v>-8.9</v>
      </c>
      <c r="C11">
        <v>61575</v>
      </c>
      <c r="D11">
        <v>-250</v>
      </c>
      <c r="E11">
        <v>-425</v>
      </c>
      <c r="F11">
        <v>-7.65</v>
      </c>
      <c r="G11">
        <v>-5</v>
      </c>
      <c r="H11">
        <v>13125</v>
      </c>
      <c r="I11">
        <v>-16350</v>
      </c>
      <c r="J11">
        <v>14175</v>
      </c>
      <c r="K11">
        <v>-2.11</v>
      </c>
      <c r="L11">
        <f t="shared" si="0"/>
        <v>-0.26262626262626265</v>
      </c>
      <c r="M11">
        <v>-0.4</v>
      </c>
      <c r="N11">
        <v>3620275</v>
      </c>
      <c r="O11">
        <v>-1000</v>
      </c>
      <c r="P11">
        <v>-2675</v>
      </c>
      <c r="Q11">
        <v>-0.25</v>
      </c>
      <c r="R11">
        <v>-0.35</v>
      </c>
      <c r="S11">
        <v>35000</v>
      </c>
      <c r="T11">
        <v>49775</v>
      </c>
      <c r="U11">
        <v>161400</v>
      </c>
      <c r="V11">
        <v>-0.52</v>
      </c>
      <c r="W11">
        <v>7.5</v>
      </c>
      <c r="X11">
        <v>539025</v>
      </c>
      <c r="Y11">
        <v>-50</v>
      </c>
      <c r="Z11">
        <v>-50</v>
      </c>
      <c r="AA11">
        <v>7.55</v>
      </c>
      <c r="AB11">
        <v>7.7</v>
      </c>
      <c r="AC11">
        <v>26425</v>
      </c>
      <c r="AD11">
        <v>19750</v>
      </c>
      <c r="AE11">
        <v>-9825</v>
      </c>
      <c r="AF11">
        <v>1.98</v>
      </c>
    </row>
    <row r="12" spans="1:32" x14ac:dyDescent="0.25">
      <c r="A12" s="1">
        <v>45424.420138888891</v>
      </c>
      <c r="B12">
        <v>-5</v>
      </c>
      <c r="C12">
        <v>40150</v>
      </c>
      <c r="D12">
        <v>225</v>
      </c>
      <c r="E12">
        <v>-600</v>
      </c>
      <c r="F12">
        <v>-5.65</v>
      </c>
      <c r="G12">
        <v>-6.95</v>
      </c>
      <c r="H12">
        <v>12875</v>
      </c>
      <c r="I12">
        <v>14450</v>
      </c>
      <c r="J12">
        <v>-43475</v>
      </c>
      <c r="K12">
        <v>-1.56</v>
      </c>
      <c r="L12">
        <f t="shared" si="0"/>
        <v>-0.28057553956834536</v>
      </c>
      <c r="M12">
        <v>-2.35</v>
      </c>
      <c r="N12">
        <v>2610075</v>
      </c>
      <c r="O12">
        <v>-1150</v>
      </c>
      <c r="P12">
        <v>2225</v>
      </c>
      <c r="Q12">
        <v>-2</v>
      </c>
      <c r="R12">
        <v>-2.0499999999999998</v>
      </c>
      <c r="S12">
        <v>38450</v>
      </c>
      <c r="T12">
        <v>-375</v>
      </c>
      <c r="U12">
        <v>-25200</v>
      </c>
      <c r="V12">
        <v>-0.39</v>
      </c>
      <c r="W12">
        <v>1.1499999999999999</v>
      </c>
      <c r="X12">
        <v>349150</v>
      </c>
      <c r="Y12">
        <v>50</v>
      </c>
      <c r="Z12">
        <v>100</v>
      </c>
      <c r="AA12">
        <v>1</v>
      </c>
      <c r="AB12">
        <v>1</v>
      </c>
      <c r="AC12">
        <v>25975</v>
      </c>
      <c r="AD12">
        <v>-12550</v>
      </c>
      <c r="AE12">
        <v>-4250</v>
      </c>
      <c r="AF12">
        <v>1.39</v>
      </c>
    </row>
    <row r="13" spans="1:32" x14ac:dyDescent="0.25">
      <c r="A13" s="1">
        <v>45424.423611111109</v>
      </c>
      <c r="B13">
        <v>-11.6</v>
      </c>
      <c r="C13">
        <v>59425</v>
      </c>
      <c r="D13">
        <v>-250</v>
      </c>
      <c r="E13">
        <v>25</v>
      </c>
      <c r="F13">
        <v>-13.25</v>
      </c>
      <c r="G13">
        <v>-9.75</v>
      </c>
      <c r="H13">
        <v>13975</v>
      </c>
      <c r="I13">
        <v>-8650</v>
      </c>
      <c r="J13">
        <v>12500</v>
      </c>
      <c r="K13">
        <v>-2.79</v>
      </c>
      <c r="L13">
        <f t="shared" si="0"/>
        <v>-0.40487804878048783</v>
      </c>
      <c r="M13">
        <v>-6.6</v>
      </c>
      <c r="N13">
        <v>3830550</v>
      </c>
      <c r="O13">
        <v>-825</v>
      </c>
      <c r="P13">
        <v>125</v>
      </c>
      <c r="Q13">
        <v>-6.8</v>
      </c>
      <c r="R13">
        <v>-6.85</v>
      </c>
      <c r="S13">
        <v>50050</v>
      </c>
      <c r="T13">
        <v>-46700</v>
      </c>
      <c r="U13">
        <v>21725</v>
      </c>
      <c r="V13">
        <v>-0.83</v>
      </c>
      <c r="W13">
        <v>4.3499999999999996</v>
      </c>
      <c r="X13">
        <v>508775</v>
      </c>
      <c r="Y13">
        <v>0</v>
      </c>
      <c r="Z13">
        <v>-75</v>
      </c>
      <c r="AA13">
        <v>5.55</v>
      </c>
      <c r="AB13">
        <v>5.55</v>
      </c>
      <c r="AC13">
        <v>22625</v>
      </c>
      <c r="AD13">
        <v>5300</v>
      </c>
      <c r="AE13">
        <v>8000</v>
      </c>
      <c r="AF13">
        <v>2.0499999999999998</v>
      </c>
    </row>
    <row r="14" spans="1:32" x14ac:dyDescent="0.25">
      <c r="A14" s="1">
        <v>45424.427083333336</v>
      </c>
      <c r="B14">
        <v>-12.2</v>
      </c>
      <c r="C14">
        <v>162525</v>
      </c>
      <c r="D14">
        <v>-50</v>
      </c>
      <c r="E14">
        <v>-175</v>
      </c>
      <c r="F14">
        <v>-15</v>
      </c>
      <c r="G14">
        <v>-15.95</v>
      </c>
      <c r="H14">
        <v>16300</v>
      </c>
      <c r="I14">
        <v>-36000</v>
      </c>
      <c r="J14">
        <v>10850</v>
      </c>
      <c r="K14">
        <v>-8.52</v>
      </c>
      <c r="L14">
        <f t="shared" si="0"/>
        <v>-0.36462093862815886</v>
      </c>
      <c r="M14">
        <v>-1.95</v>
      </c>
      <c r="N14">
        <v>4034300</v>
      </c>
      <c r="O14">
        <v>2175</v>
      </c>
      <c r="P14">
        <v>-2425</v>
      </c>
      <c r="Q14">
        <v>-2.25</v>
      </c>
      <c r="R14">
        <v>-2.2999999999999998</v>
      </c>
      <c r="S14">
        <v>40150</v>
      </c>
      <c r="T14">
        <v>96250</v>
      </c>
      <c r="U14">
        <v>-7525</v>
      </c>
      <c r="V14">
        <v>-1.01</v>
      </c>
      <c r="W14">
        <v>23.4</v>
      </c>
      <c r="X14">
        <v>580525</v>
      </c>
      <c r="Y14">
        <v>-75</v>
      </c>
      <c r="Z14">
        <v>-175</v>
      </c>
      <c r="AA14">
        <v>22.55</v>
      </c>
      <c r="AB14">
        <v>22.65</v>
      </c>
      <c r="AC14">
        <v>23200</v>
      </c>
      <c r="AD14">
        <v>-6475</v>
      </c>
      <c r="AE14">
        <v>-26800</v>
      </c>
      <c r="AF14">
        <v>2.77</v>
      </c>
    </row>
    <row r="15" spans="1:32" x14ac:dyDescent="0.25">
      <c r="A15" s="1">
        <v>45424.430555555555</v>
      </c>
      <c r="B15">
        <v>31.75</v>
      </c>
      <c r="C15">
        <v>83075</v>
      </c>
      <c r="D15">
        <v>175</v>
      </c>
      <c r="E15">
        <v>225</v>
      </c>
      <c r="F15">
        <v>39.549999999999997</v>
      </c>
      <c r="G15">
        <v>36.700000000000003</v>
      </c>
      <c r="H15">
        <v>15525</v>
      </c>
      <c r="I15">
        <v>5225</v>
      </c>
      <c r="J15">
        <v>7000</v>
      </c>
      <c r="K15">
        <v>-2.09</v>
      </c>
      <c r="L15">
        <f t="shared" si="0"/>
        <v>-0.36969696969696969</v>
      </c>
      <c r="M15">
        <v>12.65</v>
      </c>
      <c r="N15">
        <v>4838175</v>
      </c>
      <c r="O15">
        <v>-325</v>
      </c>
      <c r="P15">
        <v>375</v>
      </c>
      <c r="Q15">
        <v>13.1</v>
      </c>
      <c r="R15">
        <v>13.15</v>
      </c>
      <c r="S15">
        <v>45775</v>
      </c>
      <c r="T15">
        <v>-33425</v>
      </c>
      <c r="U15">
        <v>-122200</v>
      </c>
      <c r="V15">
        <v>-0.61</v>
      </c>
      <c r="W15">
        <v>-29.05</v>
      </c>
      <c r="X15">
        <v>464975</v>
      </c>
      <c r="Y15">
        <v>325</v>
      </c>
      <c r="Z15">
        <v>300</v>
      </c>
      <c r="AA15">
        <v>-30.45</v>
      </c>
      <c r="AB15">
        <v>-30.3</v>
      </c>
      <c r="AC15">
        <v>25800</v>
      </c>
      <c r="AD15">
        <v>-23650</v>
      </c>
      <c r="AE15">
        <v>18825</v>
      </c>
      <c r="AF15">
        <v>1.65</v>
      </c>
    </row>
    <row r="16" spans="1:32" x14ac:dyDescent="0.25">
      <c r="A16" s="1">
        <v>45424.434027777781</v>
      </c>
      <c r="B16">
        <v>-17.5</v>
      </c>
      <c r="C16">
        <v>27225</v>
      </c>
      <c r="D16">
        <v>100</v>
      </c>
      <c r="E16">
        <v>1300</v>
      </c>
      <c r="F16">
        <v>-17.399999999999999</v>
      </c>
      <c r="G16">
        <v>-17.25</v>
      </c>
      <c r="H16">
        <v>12300</v>
      </c>
      <c r="I16">
        <v>9975</v>
      </c>
      <c r="J16">
        <v>7125</v>
      </c>
      <c r="K16">
        <v>-0.67</v>
      </c>
      <c r="L16">
        <f t="shared" si="0"/>
        <v>-0.20168067226890757</v>
      </c>
      <c r="M16">
        <v>-3.2</v>
      </c>
      <c r="N16">
        <v>2704375</v>
      </c>
      <c r="O16">
        <v>-2150</v>
      </c>
      <c r="P16">
        <v>-3025</v>
      </c>
      <c r="Q16">
        <v>-3.4</v>
      </c>
      <c r="R16">
        <v>-3.45</v>
      </c>
      <c r="S16">
        <v>45750</v>
      </c>
      <c r="T16">
        <v>38775</v>
      </c>
      <c r="U16">
        <v>128075</v>
      </c>
      <c r="V16">
        <v>-0.24</v>
      </c>
      <c r="W16">
        <v>15.85</v>
      </c>
      <c r="X16">
        <v>345400</v>
      </c>
      <c r="Y16">
        <v>200</v>
      </c>
      <c r="Z16">
        <v>1675</v>
      </c>
      <c r="AA16">
        <v>16.5</v>
      </c>
      <c r="AB16">
        <v>16.7</v>
      </c>
      <c r="AC16">
        <v>26200</v>
      </c>
      <c r="AD16">
        <v>16075</v>
      </c>
      <c r="AE16">
        <v>-4050</v>
      </c>
      <c r="AF16">
        <v>1.19</v>
      </c>
    </row>
    <row r="17" spans="1:32" x14ac:dyDescent="0.25">
      <c r="A17" s="1">
        <v>45424.4375</v>
      </c>
      <c r="B17">
        <v>-2.95</v>
      </c>
      <c r="C17">
        <v>24325</v>
      </c>
      <c r="D17">
        <v>125</v>
      </c>
      <c r="E17">
        <v>-1325</v>
      </c>
      <c r="F17">
        <v>-2.2000000000000002</v>
      </c>
      <c r="G17">
        <v>-3.05</v>
      </c>
      <c r="H17">
        <v>14550</v>
      </c>
      <c r="I17">
        <v>2300</v>
      </c>
      <c r="J17">
        <v>7275</v>
      </c>
      <c r="K17">
        <v>-0.61</v>
      </c>
      <c r="L17">
        <f t="shared" si="0"/>
        <v>-0.24285714285714288</v>
      </c>
      <c r="M17">
        <v>0.15</v>
      </c>
      <c r="N17">
        <v>1868450</v>
      </c>
      <c r="O17">
        <v>-1300</v>
      </c>
      <c r="P17">
        <v>-2125</v>
      </c>
      <c r="Q17">
        <v>0.95</v>
      </c>
      <c r="R17">
        <v>0.95</v>
      </c>
      <c r="S17">
        <v>37350</v>
      </c>
      <c r="T17">
        <v>206950</v>
      </c>
      <c r="U17">
        <v>-10300</v>
      </c>
      <c r="V17">
        <v>-0.17</v>
      </c>
      <c r="W17">
        <v>2.85</v>
      </c>
      <c r="X17">
        <v>198050</v>
      </c>
      <c r="Y17">
        <v>-225</v>
      </c>
      <c r="Z17">
        <v>-50</v>
      </c>
      <c r="AA17">
        <v>1.1499999999999999</v>
      </c>
      <c r="AB17">
        <v>1</v>
      </c>
      <c r="AC17">
        <v>23200</v>
      </c>
      <c r="AD17">
        <v>3400</v>
      </c>
      <c r="AE17">
        <v>650</v>
      </c>
      <c r="AF17">
        <v>0.7</v>
      </c>
    </row>
    <row r="18" spans="1:32" x14ac:dyDescent="0.25">
      <c r="A18" s="1">
        <v>45424.440972222219</v>
      </c>
      <c r="B18">
        <v>0</v>
      </c>
      <c r="C18">
        <v>41250</v>
      </c>
      <c r="D18">
        <v>150</v>
      </c>
      <c r="E18">
        <v>175</v>
      </c>
      <c r="F18">
        <v>-1.85</v>
      </c>
      <c r="G18">
        <v>-2.7</v>
      </c>
      <c r="H18">
        <v>14375</v>
      </c>
      <c r="I18">
        <v>7950</v>
      </c>
      <c r="J18">
        <v>-3400</v>
      </c>
      <c r="K18">
        <v>-1.02</v>
      </c>
      <c r="L18">
        <f t="shared" si="0"/>
        <v>-0.24050632911392406</v>
      </c>
      <c r="M18">
        <v>-0.7</v>
      </c>
      <c r="N18">
        <v>1929075</v>
      </c>
      <c r="O18">
        <v>650</v>
      </c>
      <c r="P18">
        <v>-1275</v>
      </c>
      <c r="Q18">
        <v>-0.25</v>
      </c>
      <c r="R18">
        <v>-0.3</v>
      </c>
      <c r="S18">
        <v>42725</v>
      </c>
      <c r="T18">
        <v>-26925</v>
      </c>
      <c r="U18">
        <v>20775</v>
      </c>
      <c r="V18">
        <v>-0.19</v>
      </c>
      <c r="W18">
        <v>-0.55000000000000004</v>
      </c>
      <c r="X18">
        <v>214500</v>
      </c>
      <c r="Y18">
        <v>100</v>
      </c>
      <c r="Z18">
        <v>-100</v>
      </c>
      <c r="AA18">
        <v>0.1</v>
      </c>
      <c r="AB18">
        <v>0.05</v>
      </c>
      <c r="AC18">
        <v>25825</v>
      </c>
      <c r="AD18">
        <v>375</v>
      </c>
      <c r="AE18">
        <v>5250</v>
      </c>
      <c r="AF18">
        <v>0.79</v>
      </c>
    </row>
    <row r="19" spans="1:32" x14ac:dyDescent="0.25">
      <c r="A19" s="1">
        <v>45424.444444444445</v>
      </c>
      <c r="B19">
        <v>15.2</v>
      </c>
      <c r="C19">
        <v>78950</v>
      </c>
      <c r="D19">
        <v>-175</v>
      </c>
      <c r="E19">
        <v>-275</v>
      </c>
      <c r="F19">
        <v>15</v>
      </c>
      <c r="G19">
        <v>14.45</v>
      </c>
      <c r="H19">
        <v>17025</v>
      </c>
      <c r="I19">
        <v>7450</v>
      </c>
      <c r="J19">
        <v>50</v>
      </c>
      <c r="K19">
        <v>-1.44</v>
      </c>
      <c r="L19">
        <f t="shared" si="0"/>
        <v>-0.20689655172413793</v>
      </c>
      <c r="M19">
        <v>2.85</v>
      </c>
      <c r="N19">
        <v>1810625</v>
      </c>
      <c r="O19">
        <v>-200</v>
      </c>
      <c r="P19">
        <v>-350</v>
      </c>
      <c r="Q19">
        <v>2.9</v>
      </c>
      <c r="R19">
        <v>2.85</v>
      </c>
      <c r="S19">
        <v>45100</v>
      </c>
      <c r="T19">
        <v>37500</v>
      </c>
      <c r="U19">
        <v>-19450</v>
      </c>
      <c r="V19">
        <v>-0.12</v>
      </c>
      <c r="W19">
        <v>-4.8499999999999996</v>
      </c>
      <c r="X19">
        <v>174125</v>
      </c>
      <c r="Y19">
        <v>25</v>
      </c>
      <c r="Z19">
        <v>-275</v>
      </c>
      <c r="AA19">
        <v>-6.3</v>
      </c>
      <c r="AB19">
        <v>-6.3</v>
      </c>
      <c r="AC19">
        <v>23750</v>
      </c>
      <c r="AD19">
        <v>-5650</v>
      </c>
      <c r="AE19">
        <v>3275</v>
      </c>
      <c r="AF19">
        <v>0.57999999999999996</v>
      </c>
    </row>
    <row r="20" spans="1:32" x14ac:dyDescent="0.25">
      <c r="A20" s="1">
        <v>45424.447916666664</v>
      </c>
      <c r="B20">
        <v>-5.5</v>
      </c>
      <c r="C20">
        <v>35450</v>
      </c>
      <c r="D20">
        <v>150</v>
      </c>
      <c r="E20">
        <v>-200</v>
      </c>
      <c r="F20">
        <v>-6</v>
      </c>
      <c r="G20">
        <v>-5.15</v>
      </c>
      <c r="H20">
        <v>16450</v>
      </c>
      <c r="I20">
        <v>29375</v>
      </c>
      <c r="J20">
        <v>1400</v>
      </c>
      <c r="K20">
        <v>-0.9</v>
      </c>
      <c r="L20">
        <f t="shared" si="0"/>
        <v>-0.26315789473684209</v>
      </c>
      <c r="M20">
        <v>-2.8</v>
      </c>
      <c r="N20">
        <v>2523800</v>
      </c>
      <c r="O20">
        <v>5550</v>
      </c>
      <c r="P20">
        <v>3850</v>
      </c>
      <c r="Q20">
        <v>-2.8</v>
      </c>
      <c r="R20">
        <v>-2.65</v>
      </c>
      <c r="S20">
        <v>47150</v>
      </c>
      <c r="T20">
        <v>-50050</v>
      </c>
      <c r="U20">
        <v>33300</v>
      </c>
      <c r="V20">
        <v>-0.25</v>
      </c>
      <c r="W20">
        <v>-4.25</v>
      </c>
      <c r="X20">
        <v>261550</v>
      </c>
      <c r="Y20">
        <v>75</v>
      </c>
      <c r="Z20">
        <v>25</v>
      </c>
      <c r="AA20">
        <v>-2.75</v>
      </c>
      <c r="AB20">
        <v>-2.6</v>
      </c>
      <c r="AC20">
        <v>20250</v>
      </c>
      <c r="AD20">
        <v>-15050</v>
      </c>
      <c r="AE20">
        <v>8925</v>
      </c>
      <c r="AF20">
        <v>0.95</v>
      </c>
    </row>
    <row r="21" spans="1:32" x14ac:dyDescent="0.25">
      <c r="A21" s="1">
        <v>45424.451388888891</v>
      </c>
      <c r="B21">
        <v>-0.2</v>
      </c>
      <c r="C21">
        <v>75275</v>
      </c>
      <c r="D21">
        <v>-200</v>
      </c>
      <c r="E21">
        <v>50</v>
      </c>
      <c r="F21">
        <v>1</v>
      </c>
      <c r="G21">
        <v>-0.85</v>
      </c>
      <c r="H21">
        <v>16525</v>
      </c>
      <c r="I21">
        <v>-6525</v>
      </c>
      <c r="J21">
        <v>2350</v>
      </c>
      <c r="K21">
        <v>-0.35</v>
      </c>
      <c r="L21">
        <f t="shared" si="0"/>
        <v>-0.10989010989010989</v>
      </c>
      <c r="M21">
        <v>-0.75</v>
      </c>
      <c r="N21">
        <v>4648350</v>
      </c>
      <c r="O21">
        <v>3050</v>
      </c>
      <c r="P21">
        <v>-5700</v>
      </c>
      <c r="Q21">
        <v>-0.4</v>
      </c>
      <c r="R21">
        <v>-0.5</v>
      </c>
      <c r="S21">
        <v>55350</v>
      </c>
      <c r="T21">
        <v>-36675</v>
      </c>
      <c r="U21">
        <v>-160375</v>
      </c>
      <c r="V21">
        <v>-0.1</v>
      </c>
      <c r="W21">
        <v>1.1499999999999999</v>
      </c>
      <c r="X21">
        <v>431250</v>
      </c>
      <c r="Y21">
        <v>-100</v>
      </c>
      <c r="Z21">
        <v>75</v>
      </c>
      <c r="AA21">
        <v>1.65</v>
      </c>
      <c r="AB21">
        <v>1.6</v>
      </c>
      <c r="AC21">
        <v>24775</v>
      </c>
      <c r="AD21">
        <v>-14050</v>
      </c>
      <c r="AE21">
        <v>-7825</v>
      </c>
      <c r="AF21">
        <v>0.91</v>
      </c>
    </row>
    <row r="22" spans="1:32" s="3" customFormat="1" x14ac:dyDescent="0.25">
      <c r="A22" s="2">
        <v>45424.454861111109</v>
      </c>
      <c r="B22" s="3">
        <v>-77.8</v>
      </c>
      <c r="C22" s="3">
        <v>374700</v>
      </c>
      <c r="D22" s="3">
        <v>-500</v>
      </c>
      <c r="E22" s="3">
        <v>-75</v>
      </c>
      <c r="F22" s="3">
        <v>-72.55</v>
      </c>
      <c r="G22" s="3">
        <v>-73.8</v>
      </c>
      <c r="H22" s="3">
        <v>17050</v>
      </c>
      <c r="I22" s="3">
        <v>-134775</v>
      </c>
      <c r="J22" s="3">
        <v>9550</v>
      </c>
      <c r="K22" s="3">
        <v>-17.600000000000001</v>
      </c>
      <c r="L22">
        <f t="shared" si="0"/>
        <v>-0.31690140845070425</v>
      </c>
      <c r="M22" s="3">
        <v>-13.65</v>
      </c>
      <c r="N22" s="3">
        <v>7450600</v>
      </c>
      <c r="O22" s="3">
        <v>-1300</v>
      </c>
      <c r="P22" s="3">
        <v>-2725</v>
      </c>
      <c r="Q22" s="3">
        <v>-13.35</v>
      </c>
      <c r="R22" s="3">
        <v>-13.4</v>
      </c>
      <c r="S22" s="3">
        <v>46150</v>
      </c>
      <c r="T22" s="3">
        <v>-831475</v>
      </c>
      <c r="U22" s="3">
        <v>32800</v>
      </c>
      <c r="V22" s="3">
        <v>-1.35</v>
      </c>
      <c r="W22" s="3">
        <v>63.9</v>
      </c>
      <c r="X22" s="3">
        <v>779200</v>
      </c>
      <c r="Y22" s="3">
        <v>25</v>
      </c>
      <c r="Z22" s="3">
        <v>75</v>
      </c>
      <c r="AA22" s="3">
        <v>61.7</v>
      </c>
      <c r="AB22" s="3">
        <v>62.05</v>
      </c>
      <c r="AC22" s="3">
        <v>24850</v>
      </c>
      <c r="AD22" s="3">
        <v>-12400</v>
      </c>
      <c r="AE22" s="3">
        <v>-49400</v>
      </c>
      <c r="AF22" s="3">
        <v>4.26</v>
      </c>
    </row>
    <row r="23" spans="1:32" x14ac:dyDescent="0.25">
      <c r="A23" s="1">
        <v>45424.458333333336</v>
      </c>
      <c r="B23">
        <v>27.1</v>
      </c>
      <c r="C23">
        <v>200925</v>
      </c>
      <c r="D23">
        <v>250</v>
      </c>
      <c r="E23">
        <v>375</v>
      </c>
      <c r="F23">
        <v>32.4</v>
      </c>
      <c r="G23">
        <v>36.049999999999997</v>
      </c>
      <c r="H23">
        <v>22825</v>
      </c>
      <c r="I23">
        <v>63175</v>
      </c>
      <c r="J23">
        <v>119550</v>
      </c>
      <c r="K23">
        <v>-5.85</v>
      </c>
      <c r="L23">
        <f t="shared" si="0"/>
        <v>-0.48756218905472642</v>
      </c>
      <c r="M23">
        <v>5.45</v>
      </c>
      <c r="N23">
        <v>5330100</v>
      </c>
      <c r="O23">
        <v>-2625</v>
      </c>
      <c r="P23">
        <v>2475</v>
      </c>
      <c r="Q23">
        <v>6</v>
      </c>
      <c r="R23">
        <v>6</v>
      </c>
      <c r="S23">
        <v>52500</v>
      </c>
      <c r="T23">
        <v>-17025</v>
      </c>
      <c r="U23">
        <v>21500</v>
      </c>
      <c r="V23">
        <v>-0.98</v>
      </c>
      <c r="W23">
        <v>-38.799999999999997</v>
      </c>
      <c r="X23">
        <v>425350</v>
      </c>
      <c r="Y23">
        <v>-400</v>
      </c>
      <c r="Z23">
        <v>0</v>
      </c>
      <c r="AA23">
        <v>-39.75</v>
      </c>
      <c r="AB23">
        <v>-39.75</v>
      </c>
      <c r="AC23">
        <v>23275</v>
      </c>
      <c r="AD23">
        <v>-234125</v>
      </c>
      <c r="AE23">
        <v>22700</v>
      </c>
      <c r="AF23">
        <v>2.0099999999999998</v>
      </c>
    </row>
    <row r="24" spans="1:32" x14ac:dyDescent="0.25">
      <c r="A24" s="1">
        <v>45424.461805555555</v>
      </c>
      <c r="B24">
        <v>-8.9499999999999993</v>
      </c>
      <c r="C24">
        <v>66850</v>
      </c>
      <c r="D24">
        <v>175</v>
      </c>
      <c r="E24">
        <v>100</v>
      </c>
      <c r="F24">
        <v>-9.65</v>
      </c>
      <c r="G24">
        <v>-10.050000000000001</v>
      </c>
      <c r="H24">
        <v>17225</v>
      </c>
      <c r="I24">
        <v>11125</v>
      </c>
      <c r="J24">
        <v>17750</v>
      </c>
      <c r="K24">
        <v>-1.53</v>
      </c>
      <c r="L24">
        <f t="shared" si="0"/>
        <v>-0.23026315789473684</v>
      </c>
      <c r="M24">
        <v>0.55000000000000004</v>
      </c>
      <c r="N24">
        <v>2726675</v>
      </c>
      <c r="O24">
        <v>-2175</v>
      </c>
      <c r="P24">
        <v>-2850</v>
      </c>
      <c r="Q24">
        <v>0.4</v>
      </c>
      <c r="R24">
        <v>0.35</v>
      </c>
      <c r="S24">
        <v>46625</v>
      </c>
      <c r="T24">
        <v>33000</v>
      </c>
      <c r="U24">
        <v>70550</v>
      </c>
      <c r="V24">
        <v>-0.35</v>
      </c>
      <c r="W24">
        <v>12.25</v>
      </c>
      <c r="X24">
        <v>375375</v>
      </c>
      <c r="Y24">
        <v>75</v>
      </c>
      <c r="Z24">
        <v>0</v>
      </c>
      <c r="AA24">
        <v>11.95</v>
      </c>
      <c r="AB24">
        <v>11.95</v>
      </c>
      <c r="AC24">
        <v>26400</v>
      </c>
      <c r="AD24">
        <v>-231100</v>
      </c>
      <c r="AE24">
        <v>-1950</v>
      </c>
      <c r="AF24">
        <v>1.52</v>
      </c>
    </row>
    <row r="25" spans="1:32" x14ac:dyDescent="0.25">
      <c r="A25" s="1">
        <v>45424.465277777781</v>
      </c>
      <c r="B25">
        <v>5.25</v>
      </c>
      <c r="C25">
        <v>42875</v>
      </c>
      <c r="D25">
        <v>-175</v>
      </c>
      <c r="E25">
        <v>750</v>
      </c>
      <c r="F25">
        <v>7.05</v>
      </c>
      <c r="G25">
        <v>4</v>
      </c>
      <c r="H25">
        <v>15625</v>
      </c>
      <c r="I25">
        <v>42025</v>
      </c>
      <c r="J25">
        <v>-11350</v>
      </c>
      <c r="K25">
        <v>-0.94</v>
      </c>
      <c r="L25">
        <f t="shared" si="0"/>
        <v>-0.34444444444444444</v>
      </c>
      <c r="M25">
        <v>-1</v>
      </c>
      <c r="N25">
        <v>2383000</v>
      </c>
      <c r="O25">
        <v>1500</v>
      </c>
      <c r="P25">
        <v>-2550</v>
      </c>
      <c r="Q25">
        <v>-0.8</v>
      </c>
      <c r="R25">
        <v>-0.8</v>
      </c>
      <c r="S25">
        <v>44500</v>
      </c>
      <c r="T25">
        <v>267625</v>
      </c>
      <c r="U25">
        <v>-8400</v>
      </c>
      <c r="V25">
        <v>-0.31</v>
      </c>
      <c r="W25">
        <v>-10.7</v>
      </c>
      <c r="X25">
        <v>220825</v>
      </c>
      <c r="Y25">
        <v>-125</v>
      </c>
      <c r="Z25">
        <v>-525</v>
      </c>
      <c r="AA25">
        <v>-10.9</v>
      </c>
      <c r="AB25">
        <v>-11.05</v>
      </c>
      <c r="AC25">
        <v>22675</v>
      </c>
      <c r="AD25">
        <v>-11325</v>
      </c>
      <c r="AE25">
        <v>11875</v>
      </c>
      <c r="AF25">
        <v>0.9</v>
      </c>
    </row>
    <row r="26" spans="1:32" x14ac:dyDescent="0.25">
      <c r="A26" s="1">
        <v>45424.46875</v>
      </c>
      <c r="B26">
        <v>-20</v>
      </c>
      <c r="C26">
        <v>125125</v>
      </c>
      <c r="D26">
        <v>-25</v>
      </c>
      <c r="E26">
        <v>-650</v>
      </c>
      <c r="F26">
        <v>-19.3</v>
      </c>
      <c r="G26">
        <v>-21.1</v>
      </c>
      <c r="H26">
        <v>22500</v>
      </c>
      <c r="I26">
        <v>-27275</v>
      </c>
      <c r="J26">
        <v>6275</v>
      </c>
      <c r="K26">
        <v>-3.06</v>
      </c>
      <c r="L26">
        <f t="shared" si="0"/>
        <v>-0.27722772277227725</v>
      </c>
      <c r="M26">
        <v>-2.4500000000000002</v>
      </c>
      <c r="N26">
        <v>1900025</v>
      </c>
      <c r="O26">
        <v>-1225</v>
      </c>
      <c r="P26">
        <v>-1200</v>
      </c>
      <c r="Q26">
        <v>-2.65</v>
      </c>
      <c r="R26">
        <v>-2.7</v>
      </c>
      <c r="S26">
        <v>46025</v>
      </c>
      <c r="T26">
        <v>23800</v>
      </c>
      <c r="U26">
        <v>70525</v>
      </c>
      <c r="V26">
        <v>-0.28000000000000003</v>
      </c>
      <c r="W26">
        <v>24.7</v>
      </c>
      <c r="X26">
        <v>220800</v>
      </c>
      <c r="Y26">
        <v>500</v>
      </c>
      <c r="Z26">
        <v>25</v>
      </c>
      <c r="AA26">
        <v>24.55</v>
      </c>
      <c r="AB26">
        <v>24.8</v>
      </c>
      <c r="AC26">
        <v>26800</v>
      </c>
      <c r="AD26">
        <v>1325</v>
      </c>
      <c r="AE26">
        <v>-6450</v>
      </c>
      <c r="AF26">
        <v>1.01</v>
      </c>
    </row>
    <row r="27" spans="1:32" x14ac:dyDescent="0.25">
      <c r="A27" s="1">
        <v>45424.472222222219</v>
      </c>
      <c r="B27">
        <v>5</v>
      </c>
      <c r="C27">
        <v>108750</v>
      </c>
      <c r="D27">
        <v>300</v>
      </c>
      <c r="E27">
        <v>-50</v>
      </c>
      <c r="F27">
        <v>3.35</v>
      </c>
      <c r="G27">
        <v>3.75</v>
      </c>
      <c r="H27">
        <v>14975</v>
      </c>
      <c r="I27">
        <v>-5725</v>
      </c>
      <c r="J27">
        <v>-6675</v>
      </c>
      <c r="K27">
        <v>-2.84</v>
      </c>
      <c r="L27">
        <f t="shared" si="0"/>
        <v>-0.39999999999999997</v>
      </c>
      <c r="M27">
        <v>-0.4</v>
      </c>
      <c r="N27">
        <v>1990700</v>
      </c>
      <c r="O27">
        <v>-525</v>
      </c>
      <c r="P27">
        <v>825</v>
      </c>
      <c r="Q27">
        <v>-0.4</v>
      </c>
      <c r="R27">
        <v>-0.35</v>
      </c>
      <c r="S27">
        <v>42425</v>
      </c>
      <c r="T27">
        <v>211950</v>
      </c>
      <c r="U27">
        <v>-65700</v>
      </c>
      <c r="V27">
        <v>-0.3</v>
      </c>
      <c r="W27">
        <v>-0.95</v>
      </c>
      <c r="X27">
        <v>154850</v>
      </c>
      <c r="Y27">
        <v>275</v>
      </c>
      <c r="Z27">
        <v>0</v>
      </c>
      <c r="AA27">
        <v>-0.9</v>
      </c>
      <c r="AB27">
        <v>-0.85</v>
      </c>
      <c r="AC27">
        <v>24850</v>
      </c>
      <c r="AD27">
        <v>-8325</v>
      </c>
      <c r="AE27">
        <v>-3450</v>
      </c>
      <c r="AF27">
        <v>0.75</v>
      </c>
    </row>
    <row r="28" spans="1:32" x14ac:dyDescent="0.25">
      <c r="A28" s="1">
        <v>45424.475694444445</v>
      </c>
      <c r="B28">
        <v>9</v>
      </c>
      <c r="C28">
        <v>25375</v>
      </c>
      <c r="D28">
        <v>-300</v>
      </c>
      <c r="E28">
        <v>250</v>
      </c>
      <c r="F28">
        <v>7</v>
      </c>
      <c r="G28">
        <v>8.9499999999999993</v>
      </c>
      <c r="H28">
        <v>12350</v>
      </c>
      <c r="I28">
        <v>3775</v>
      </c>
      <c r="J28">
        <v>-3325</v>
      </c>
      <c r="K28">
        <v>-0.5</v>
      </c>
      <c r="L28">
        <f t="shared" si="0"/>
        <v>-0.60784313725490191</v>
      </c>
      <c r="M28">
        <v>3.35</v>
      </c>
      <c r="N28">
        <v>2353900</v>
      </c>
      <c r="O28">
        <v>-275</v>
      </c>
      <c r="P28">
        <v>-13650</v>
      </c>
      <c r="Q28">
        <v>3</v>
      </c>
      <c r="R28">
        <v>3</v>
      </c>
      <c r="S28">
        <v>57900</v>
      </c>
      <c r="T28">
        <v>-21525</v>
      </c>
      <c r="U28">
        <v>-107575</v>
      </c>
      <c r="V28">
        <v>-0.31</v>
      </c>
      <c r="W28">
        <v>-11.05</v>
      </c>
      <c r="X28">
        <v>118300</v>
      </c>
      <c r="Y28">
        <v>250</v>
      </c>
      <c r="Z28">
        <v>-225</v>
      </c>
      <c r="AA28">
        <v>-11.05</v>
      </c>
      <c r="AB28">
        <v>-10.95</v>
      </c>
      <c r="AC28">
        <v>29300</v>
      </c>
      <c r="AD28">
        <v>-4375</v>
      </c>
      <c r="AE28">
        <v>1625</v>
      </c>
      <c r="AF28">
        <v>0.51</v>
      </c>
    </row>
    <row r="29" spans="1:32" x14ac:dyDescent="0.25">
      <c r="A29" s="1">
        <v>45424.479166666664</v>
      </c>
      <c r="B29">
        <v>-20.45</v>
      </c>
      <c r="C29">
        <v>39850</v>
      </c>
      <c r="D29">
        <v>-275</v>
      </c>
      <c r="E29">
        <v>975</v>
      </c>
      <c r="F29">
        <v>-16.45</v>
      </c>
      <c r="G29">
        <v>-20</v>
      </c>
      <c r="H29">
        <v>20175</v>
      </c>
      <c r="I29">
        <v>-600</v>
      </c>
      <c r="J29">
        <v>9575</v>
      </c>
      <c r="K29">
        <v>-0.9</v>
      </c>
      <c r="L29">
        <f t="shared" si="0"/>
        <v>-0.39705882352941174</v>
      </c>
      <c r="M29">
        <v>-3.75</v>
      </c>
      <c r="N29">
        <v>1952525</v>
      </c>
      <c r="O29">
        <v>-1125</v>
      </c>
      <c r="P29">
        <v>-650</v>
      </c>
      <c r="Q29">
        <v>-3.75</v>
      </c>
      <c r="R29">
        <v>-3.8</v>
      </c>
      <c r="S29">
        <v>43650</v>
      </c>
      <c r="T29">
        <v>62000</v>
      </c>
      <c r="U29">
        <v>43075</v>
      </c>
      <c r="V29">
        <v>-0.27</v>
      </c>
      <c r="W29">
        <v>21.2</v>
      </c>
      <c r="X29">
        <v>140950</v>
      </c>
      <c r="Y29">
        <v>-225</v>
      </c>
      <c r="Z29">
        <v>100</v>
      </c>
      <c r="AA29">
        <v>20.6</v>
      </c>
      <c r="AB29">
        <v>20.7</v>
      </c>
      <c r="AC29">
        <v>25550</v>
      </c>
      <c r="AD29">
        <v>-3375</v>
      </c>
      <c r="AE29">
        <v>-1750</v>
      </c>
      <c r="AF29">
        <v>0.68</v>
      </c>
    </row>
    <row r="30" spans="1:32" x14ac:dyDescent="0.25">
      <c r="A30" s="1">
        <v>45424.482638888891</v>
      </c>
      <c r="B30">
        <v>6.3</v>
      </c>
      <c r="C30">
        <v>64475</v>
      </c>
      <c r="D30">
        <v>-25</v>
      </c>
      <c r="E30">
        <v>-675</v>
      </c>
      <c r="F30">
        <v>2.5</v>
      </c>
      <c r="G30">
        <v>3.3</v>
      </c>
      <c r="H30">
        <v>26200</v>
      </c>
      <c r="I30">
        <v>13500</v>
      </c>
      <c r="J30">
        <v>4250</v>
      </c>
      <c r="K30">
        <v>-1.56</v>
      </c>
      <c r="L30">
        <f t="shared" si="0"/>
        <v>-0.35087719298245618</v>
      </c>
      <c r="M30">
        <v>1.25</v>
      </c>
      <c r="N30">
        <v>1424175</v>
      </c>
      <c r="O30">
        <v>875</v>
      </c>
      <c r="P30">
        <v>3125</v>
      </c>
      <c r="Q30">
        <v>1.35</v>
      </c>
      <c r="R30">
        <v>1.35</v>
      </c>
      <c r="S30">
        <v>47100</v>
      </c>
      <c r="T30">
        <v>-56200</v>
      </c>
      <c r="U30">
        <v>-30100</v>
      </c>
      <c r="V30">
        <v>-0.2</v>
      </c>
      <c r="W30">
        <v>-4.25</v>
      </c>
      <c r="X30">
        <v>114725</v>
      </c>
      <c r="Y30">
        <v>800</v>
      </c>
      <c r="Z30">
        <v>-125</v>
      </c>
      <c r="AA30">
        <v>-4.3499999999999996</v>
      </c>
      <c r="AB30">
        <v>-4.4000000000000004</v>
      </c>
      <c r="AC30">
        <v>28700</v>
      </c>
      <c r="AD30">
        <v>-5550</v>
      </c>
      <c r="AE30">
        <v>5225</v>
      </c>
      <c r="AF30">
        <v>0.56999999999999995</v>
      </c>
    </row>
    <row r="31" spans="1:32" x14ac:dyDescent="0.25">
      <c r="A31" s="1">
        <v>45424.486111111109</v>
      </c>
      <c r="B31">
        <v>6.65</v>
      </c>
      <c r="C31">
        <v>38800</v>
      </c>
      <c r="D31">
        <v>0</v>
      </c>
      <c r="E31">
        <v>50</v>
      </c>
      <c r="F31">
        <v>7.75</v>
      </c>
      <c r="G31">
        <v>6.6</v>
      </c>
      <c r="H31">
        <v>14300</v>
      </c>
      <c r="I31">
        <v>4450</v>
      </c>
      <c r="J31">
        <v>-2100</v>
      </c>
      <c r="K31">
        <v>-0.92</v>
      </c>
      <c r="L31">
        <f t="shared" si="0"/>
        <v>-0.39999999999999997</v>
      </c>
      <c r="M31">
        <v>2.4500000000000002</v>
      </c>
      <c r="N31">
        <v>1627350</v>
      </c>
      <c r="O31">
        <v>-1500</v>
      </c>
      <c r="P31">
        <v>-1350</v>
      </c>
      <c r="Q31">
        <v>2.2999999999999998</v>
      </c>
      <c r="R31">
        <v>2.2999999999999998</v>
      </c>
      <c r="S31">
        <v>44100</v>
      </c>
      <c r="T31">
        <v>31075</v>
      </c>
      <c r="U31">
        <v>-43825</v>
      </c>
      <c r="V31">
        <v>-0.22</v>
      </c>
      <c r="W31">
        <v>-7</v>
      </c>
      <c r="X31">
        <v>112950</v>
      </c>
      <c r="Y31">
        <v>-275</v>
      </c>
      <c r="Z31">
        <v>-200</v>
      </c>
      <c r="AA31">
        <v>-7.1</v>
      </c>
      <c r="AB31">
        <v>-7.1</v>
      </c>
      <c r="AC31">
        <v>23525</v>
      </c>
      <c r="AD31">
        <v>-588500</v>
      </c>
      <c r="AE31">
        <v>-2225</v>
      </c>
      <c r="AF31">
        <v>0.55000000000000004</v>
      </c>
    </row>
    <row r="32" spans="1:32" x14ac:dyDescent="0.25">
      <c r="A32" s="1">
        <v>45424.489583333336</v>
      </c>
      <c r="B32">
        <v>7</v>
      </c>
      <c r="C32">
        <v>37725</v>
      </c>
      <c r="D32">
        <v>0</v>
      </c>
      <c r="E32">
        <v>0</v>
      </c>
      <c r="F32">
        <v>11</v>
      </c>
      <c r="G32">
        <v>7</v>
      </c>
      <c r="H32">
        <v>14300</v>
      </c>
      <c r="I32">
        <v>1925</v>
      </c>
      <c r="J32">
        <v>7900</v>
      </c>
      <c r="K32">
        <v>-0.7</v>
      </c>
      <c r="L32">
        <f t="shared" si="0"/>
        <v>-0.42</v>
      </c>
      <c r="M32">
        <v>0.75</v>
      </c>
      <c r="N32">
        <v>1988450</v>
      </c>
      <c r="O32">
        <v>2250</v>
      </c>
      <c r="P32">
        <v>350</v>
      </c>
      <c r="Q32">
        <v>0.7</v>
      </c>
      <c r="R32">
        <v>0.8</v>
      </c>
      <c r="S32">
        <v>44675</v>
      </c>
      <c r="T32">
        <v>-60500</v>
      </c>
      <c r="U32">
        <v>-28575</v>
      </c>
      <c r="V32">
        <v>-0.21</v>
      </c>
      <c r="W32">
        <v>-3.7</v>
      </c>
      <c r="X32">
        <v>117650</v>
      </c>
      <c r="Y32">
        <v>-25</v>
      </c>
      <c r="Z32">
        <v>-225</v>
      </c>
      <c r="AA32">
        <v>-4.5999999999999996</v>
      </c>
      <c r="AB32">
        <v>-4.55</v>
      </c>
      <c r="AC32">
        <v>23050</v>
      </c>
      <c r="AD32">
        <v>-15275</v>
      </c>
      <c r="AE32">
        <v>-3025</v>
      </c>
      <c r="AF32">
        <v>0.5</v>
      </c>
    </row>
    <row r="33" spans="1:32" x14ac:dyDescent="0.25">
      <c r="A33" s="1">
        <v>45424.493055555555</v>
      </c>
      <c r="B33">
        <v>-3.9</v>
      </c>
      <c r="C33">
        <v>38150</v>
      </c>
      <c r="D33">
        <v>0</v>
      </c>
      <c r="E33">
        <v>25</v>
      </c>
      <c r="F33">
        <v>-3.5</v>
      </c>
      <c r="G33">
        <v>2.5</v>
      </c>
      <c r="H33">
        <v>14475</v>
      </c>
      <c r="I33">
        <v>-2350</v>
      </c>
      <c r="J33">
        <v>-675</v>
      </c>
      <c r="K33">
        <v>-0.53</v>
      </c>
      <c r="L33">
        <f t="shared" si="0"/>
        <v>-0.33333333333333337</v>
      </c>
      <c r="M33">
        <v>0.65</v>
      </c>
      <c r="N33">
        <v>2191100</v>
      </c>
      <c r="O33">
        <v>475</v>
      </c>
      <c r="P33">
        <v>-2425</v>
      </c>
      <c r="Q33">
        <v>0.2</v>
      </c>
      <c r="R33">
        <v>0.2</v>
      </c>
      <c r="S33">
        <v>47400</v>
      </c>
      <c r="T33">
        <v>39950</v>
      </c>
      <c r="U33">
        <v>-23425</v>
      </c>
      <c r="V33">
        <v>-0.2</v>
      </c>
      <c r="W33">
        <v>-0.1</v>
      </c>
      <c r="X33">
        <v>156075</v>
      </c>
      <c r="Y33">
        <v>-25</v>
      </c>
      <c r="Z33">
        <v>350</v>
      </c>
      <c r="AA33">
        <v>0.25</v>
      </c>
      <c r="AB33">
        <v>0.2</v>
      </c>
      <c r="AC33">
        <v>29250</v>
      </c>
      <c r="AD33">
        <v>1850</v>
      </c>
      <c r="AE33">
        <v>2625</v>
      </c>
      <c r="AF33">
        <v>0.6</v>
      </c>
    </row>
    <row r="34" spans="1:32" x14ac:dyDescent="0.25">
      <c r="A34" s="1">
        <v>45424.496527777781</v>
      </c>
      <c r="B34">
        <v>8.1999999999999993</v>
      </c>
      <c r="C34">
        <v>21075</v>
      </c>
      <c r="D34">
        <v>25</v>
      </c>
      <c r="E34">
        <v>150</v>
      </c>
      <c r="F34">
        <v>10.65</v>
      </c>
      <c r="G34">
        <v>9.0500000000000007</v>
      </c>
      <c r="H34">
        <v>13525</v>
      </c>
      <c r="I34">
        <v>3300</v>
      </c>
      <c r="J34">
        <v>-6850</v>
      </c>
      <c r="K34">
        <v>-0.28999999999999998</v>
      </c>
      <c r="L34">
        <f t="shared" si="0"/>
        <v>-0.43750000000000006</v>
      </c>
      <c r="M34">
        <v>3.75</v>
      </c>
      <c r="N34">
        <v>1814625</v>
      </c>
      <c r="O34">
        <v>475</v>
      </c>
      <c r="P34">
        <v>-2300</v>
      </c>
      <c r="Q34">
        <v>3.7</v>
      </c>
      <c r="R34">
        <v>3.6</v>
      </c>
      <c r="S34">
        <v>45725</v>
      </c>
      <c r="T34">
        <v>47850</v>
      </c>
      <c r="U34">
        <v>-108650</v>
      </c>
      <c r="V34">
        <v>-0.14000000000000001</v>
      </c>
      <c r="W34">
        <v>-11.35</v>
      </c>
      <c r="X34">
        <v>84325</v>
      </c>
      <c r="Y34">
        <v>0</v>
      </c>
      <c r="Z34">
        <v>-25</v>
      </c>
      <c r="AA34">
        <v>-11.25</v>
      </c>
      <c r="AB34">
        <v>-11.25</v>
      </c>
      <c r="AC34">
        <v>22975</v>
      </c>
      <c r="AD34">
        <v>-5425</v>
      </c>
      <c r="AE34">
        <v>11075</v>
      </c>
      <c r="AF34">
        <v>0.32</v>
      </c>
    </row>
    <row r="35" spans="1:32" x14ac:dyDescent="0.25">
      <c r="A35" s="1">
        <v>45424.5</v>
      </c>
      <c r="B35">
        <v>39</v>
      </c>
      <c r="C35">
        <v>77450</v>
      </c>
      <c r="D35">
        <v>100</v>
      </c>
      <c r="E35">
        <v>75</v>
      </c>
      <c r="F35">
        <v>45.55</v>
      </c>
      <c r="G35">
        <v>41.3</v>
      </c>
      <c r="H35">
        <v>14325</v>
      </c>
      <c r="I35">
        <v>-6250</v>
      </c>
      <c r="J35">
        <v>-5325</v>
      </c>
      <c r="K35">
        <v>-0.2</v>
      </c>
      <c r="L35">
        <f t="shared" si="0"/>
        <v>-9.6385542168674704E-2</v>
      </c>
      <c r="M35">
        <v>8.9499999999999993</v>
      </c>
      <c r="N35">
        <v>5371875</v>
      </c>
      <c r="O35">
        <v>3450</v>
      </c>
      <c r="P35">
        <v>2825</v>
      </c>
      <c r="Q35">
        <v>9</v>
      </c>
      <c r="R35">
        <v>9.1999999999999993</v>
      </c>
      <c r="S35">
        <v>47225</v>
      </c>
      <c r="T35">
        <v>-107525</v>
      </c>
      <c r="U35">
        <v>-88425</v>
      </c>
      <c r="V35">
        <v>-0.08</v>
      </c>
      <c r="W35">
        <v>-31.35</v>
      </c>
      <c r="X35">
        <v>316675</v>
      </c>
      <c r="Y35">
        <v>225</v>
      </c>
      <c r="Z35">
        <v>-75</v>
      </c>
      <c r="AA35">
        <v>-31</v>
      </c>
      <c r="AB35">
        <v>-31.15</v>
      </c>
      <c r="AC35">
        <v>24650</v>
      </c>
      <c r="AD35">
        <v>-3600</v>
      </c>
      <c r="AE35">
        <v>5275</v>
      </c>
      <c r="AF35">
        <v>0.83</v>
      </c>
    </row>
    <row r="36" spans="1:32" s="3" customFormat="1" x14ac:dyDescent="0.25">
      <c r="A36" s="2">
        <v>45424.503472222219</v>
      </c>
      <c r="B36" s="3">
        <v>101.8</v>
      </c>
      <c r="C36" s="3">
        <v>614800</v>
      </c>
      <c r="D36" s="3">
        <v>100</v>
      </c>
      <c r="E36" s="3">
        <v>-50</v>
      </c>
      <c r="F36" s="3">
        <v>98.85</v>
      </c>
      <c r="G36" s="3">
        <v>101.9</v>
      </c>
      <c r="H36" s="3">
        <v>22175</v>
      </c>
      <c r="I36" s="3">
        <v>75875</v>
      </c>
      <c r="J36" s="3">
        <v>-194000</v>
      </c>
      <c r="K36" s="3">
        <v>14.98</v>
      </c>
      <c r="L36">
        <f t="shared" si="0"/>
        <v>-1.1242236024844721</v>
      </c>
      <c r="M36" s="3">
        <v>36.950000000000003</v>
      </c>
      <c r="N36" s="3">
        <v>16053700</v>
      </c>
      <c r="O36" s="3">
        <v>-2975</v>
      </c>
      <c r="P36" s="3">
        <v>-1075</v>
      </c>
      <c r="Q36" s="3">
        <v>38.549999999999997</v>
      </c>
      <c r="R36" s="3">
        <v>38.549999999999997</v>
      </c>
      <c r="S36" s="3">
        <v>28425</v>
      </c>
      <c r="T36" s="3">
        <v>-119100</v>
      </c>
      <c r="U36" s="3">
        <v>-581850</v>
      </c>
      <c r="V36" s="3">
        <v>3.62</v>
      </c>
      <c r="W36" s="3">
        <v>-81.150000000000006</v>
      </c>
      <c r="X36" s="3">
        <v>2096025</v>
      </c>
      <c r="Y36" s="3">
        <v>500</v>
      </c>
      <c r="Z36" s="3">
        <v>325</v>
      </c>
      <c r="AA36" s="3">
        <v>-82.45</v>
      </c>
      <c r="AB36" s="3">
        <v>-82.5</v>
      </c>
      <c r="AC36" s="3">
        <v>25275</v>
      </c>
      <c r="AD36" s="3">
        <v>52225</v>
      </c>
      <c r="AE36" s="3">
        <v>35250</v>
      </c>
      <c r="AF36" s="3">
        <v>-3.22</v>
      </c>
    </row>
    <row r="37" spans="1:32" x14ac:dyDescent="0.25">
      <c r="A37" s="1">
        <v>45424.506944444445</v>
      </c>
      <c r="B37">
        <v>78.599999999999994</v>
      </c>
      <c r="C37">
        <v>495650</v>
      </c>
      <c r="D37">
        <v>0</v>
      </c>
      <c r="E37">
        <v>175</v>
      </c>
      <c r="F37">
        <v>75.25</v>
      </c>
      <c r="G37">
        <v>76.599999999999994</v>
      </c>
      <c r="H37">
        <v>17725</v>
      </c>
      <c r="I37">
        <v>34950</v>
      </c>
      <c r="J37">
        <v>-1675</v>
      </c>
      <c r="K37">
        <v>19.510000000000002</v>
      </c>
      <c r="L37">
        <f t="shared" si="0"/>
        <v>-0.19453004622496148</v>
      </c>
      <c r="M37">
        <v>22.95</v>
      </c>
      <c r="N37">
        <v>14716650</v>
      </c>
      <c r="O37">
        <v>-525</v>
      </c>
      <c r="P37">
        <v>400</v>
      </c>
      <c r="Q37">
        <v>23.2</v>
      </c>
      <c r="R37">
        <v>23.15</v>
      </c>
      <c r="S37">
        <v>25000</v>
      </c>
      <c r="T37">
        <v>374650</v>
      </c>
      <c r="U37">
        <v>132900</v>
      </c>
      <c r="V37">
        <v>5.05</v>
      </c>
      <c r="W37">
        <v>-56.1</v>
      </c>
      <c r="X37">
        <v>7781225</v>
      </c>
      <c r="Y37">
        <v>-225</v>
      </c>
      <c r="Z37">
        <v>-50</v>
      </c>
      <c r="AA37">
        <v>-56.05</v>
      </c>
      <c r="AB37">
        <v>-56.35</v>
      </c>
      <c r="AC37">
        <v>26400</v>
      </c>
      <c r="AD37">
        <v>722700</v>
      </c>
      <c r="AE37">
        <v>173250</v>
      </c>
      <c r="AF37">
        <v>-25.96</v>
      </c>
    </row>
    <row r="38" spans="1:32" x14ac:dyDescent="0.25">
      <c r="A38" s="1">
        <v>45424.510416666664</v>
      </c>
      <c r="B38">
        <v>39.85</v>
      </c>
      <c r="C38">
        <v>441475</v>
      </c>
      <c r="D38">
        <v>25</v>
      </c>
      <c r="E38">
        <v>-75</v>
      </c>
      <c r="F38">
        <v>40.4</v>
      </c>
      <c r="G38">
        <v>38.9</v>
      </c>
      <c r="H38">
        <v>20050</v>
      </c>
      <c r="I38">
        <v>23350</v>
      </c>
      <c r="J38">
        <v>72725</v>
      </c>
      <c r="K38">
        <v>19.22</v>
      </c>
      <c r="L38">
        <f t="shared" si="0"/>
        <v>-0.42220828105395236</v>
      </c>
      <c r="M38">
        <v>37.25</v>
      </c>
      <c r="N38">
        <v>13597950</v>
      </c>
      <c r="O38">
        <v>1575</v>
      </c>
      <c r="P38">
        <v>200</v>
      </c>
      <c r="Q38">
        <v>37.75</v>
      </c>
      <c r="R38">
        <v>38.049999999999997</v>
      </c>
      <c r="S38">
        <v>27425</v>
      </c>
      <c r="T38">
        <v>-263200</v>
      </c>
      <c r="U38">
        <v>-129900</v>
      </c>
      <c r="V38">
        <v>6.73</v>
      </c>
      <c r="W38">
        <v>-7</v>
      </c>
      <c r="X38">
        <v>7394050</v>
      </c>
      <c r="Y38">
        <v>25175</v>
      </c>
      <c r="Z38">
        <v>-500</v>
      </c>
      <c r="AA38">
        <v>-6.6</v>
      </c>
      <c r="AB38">
        <v>-6.7</v>
      </c>
      <c r="AC38">
        <v>27200</v>
      </c>
      <c r="AD38">
        <v>594625</v>
      </c>
      <c r="AE38">
        <v>139300</v>
      </c>
      <c r="AF38">
        <v>-15.94</v>
      </c>
    </row>
    <row r="39" spans="1:32" x14ac:dyDescent="0.25">
      <c r="A39" s="1">
        <v>45424.513888888891</v>
      </c>
      <c r="B39">
        <v>-33.549999999999997</v>
      </c>
      <c r="C39">
        <v>174275</v>
      </c>
      <c r="D39">
        <v>2100</v>
      </c>
      <c r="E39">
        <v>0</v>
      </c>
      <c r="F39">
        <v>-30.8</v>
      </c>
      <c r="G39">
        <v>-33.200000000000003</v>
      </c>
      <c r="H39">
        <v>18325</v>
      </c>
      <c r="I39">
        <v>98550</v>
      </c>
      <c r="J39">
        <v>28725</v>
      </c>
      <c r="K39">
        <v>5.67</v>
      </c>
      <c r="L39">
        <f t="shared" si="0"/>
        <v>-0.30595238095238092</v>
      </c>
      <c r="M39">
        <v>-24.7</v>
      </c>
      <c r="N39">
        <v>6699775</v>
      </c>
      <c r="O39">
        <v>-150</v>
      </c>
      <c r="P39">
        <v>-600</v>
      </c>
      <c r="Q39">
        <v>-24.7</v>
      </c>
      <c r="R39">
        <v>-24.65</v>
      </c>
      <c r="S39">
        <v>24975</v>
      </c>
      <c r="T39">
        <v>-212775</v>
      </c>
      <c r="U39">
        <v>100225</v>
      </c>
      <c r="V39">
        <v>2.57</v>
      </c>
      <c r="W39">
        <v>16.75</v>
      </c>
      <c r="X39">
        <v>7246925</v>
      </c>
      <c r="Y39">
        <v>-200</v>
      </c>
      <c r="Z39">
        <v>100</v>
      </c>
      <c r="AA39">
        <v>17.100000000000001</v>
      </c>
      <c r="AB39">
        <v>17.149999999999999</v>
      </c>
      <c r="AC39">
        <v>26400</v>
      </c>
      <c r="AD39">
        <v>121250</v>
      </c>
      <c r="AE39">
        <v>62300</v>
      </c>
      <c r="AF39">
        <v>-8.4</v>
      </c>
    </row>
    <row r="40" spans="1:32" x14ac:dyDescent="0.25">
      <c r="A40" s="1">
        <v>45424.517361111109</v>
      </c>
      <c r="B40">
        <v>7.35</v>
      </c>
      <c r="C40">
        <v>75150</v>
      </c>
      <c r="D40">
        <v>-75</v>
      </c>
      <c r="E40">
        <v>0</v>
      </c>
      <c r="F40">
        <v>1.9</v>
      </c>
      <c r="G40">
        <v>7.35</v>
      </c>
      <c r="H40">
        <v>16025</v>
      </c>
      <c r="I40">
        <v>17600</v>
      </c>
      <c r="J40">
        <v>17475</v>
      </c>
      <c r="K40">
        <v>2.25</v>
      </c>
      <c r="L40">
        <f t="shared" si="0"/>
        <v>-0.35604395604395606</v>
      </c>
      <c r="M40">
        <v>-6.6</v>
      </c>
      <c r="N40">
        <v>5034450</v>
      </c>
      <c r="O40">
        <v>-150</v>
      </c>
      <c r="P40">
        <v>-700</v>
      </c>
      <c r="Q40">
        <v>-7</v>
      </c>
      <c r="R40">
        <v>-7.1</v>
      </c>
      <c r="S40">
        <v>29025</v>
      </c>
      <c r="T40">
        <v>-69775</v>
      </c>
      <c r="U40">
        <v>70725</v>
      </c>
      <c r="V40">
        <v>1.62</v>
      </c>
      <c r="W40">
        <v>-11.3</v>
      </c>
      <c r="X40">
        <v>4964025</v>
      </c>
      <c r="Y40">
        <v>100</v>
      </c>
      <c r="Z40">
        <v>-350</v>
      </c>
      <c r="AA40">
        <v>-11.25</v>
      </c>
      <c r="AB40">
        <v>-11.2</v>
      </c>
      <c r="AC40">
        <v>23975</v>
      </c>
      <c r="AD40">
        <v>-57225</v>
      </c>
      <c r="AE40">
        <v>88400</v>
      </c>
      <c r="AF40">
        <v>-4.55</v>
      </c>
    </row>
    <row r="41" spans="1:32" x14ac:dyDescent="0.25">
      <c r="A41" s="1">
        <v>45424.520833333336</v>
      </c>
      <c r="B41">
        <v>9.75</v>
      </c>
      <c r="C41">
        <v>83225</v>
      </c>
      <c r="D41">
        <v>-25</v>
      </c>
      <c r="E41">
        <v>25</v>
      </c>
      <c r="F41">
        <v>10.050000000000001</v>
      </c>
      <c r="G41">
        <v>6</v>
      </c>
      <c r="H41">
        <v>17675</v>
      </c>
      <c r="I41">
        <v>1025</v>
      </c>
      <c r="J41">
        <v>-14275</v>
      </c>
      <c r="K41">
        <v>2.62</v>
      </c>
      <c r="L41">
        <f t="shared" si="0"/>
        <v>-0.23613086770981506</v>
      </c>
      <c r="M41">
        <v>2.15</v>
      </c>
      <c r="N41">
        <v>6083875</v>
      </c>
      <c r="O41">
        <v>-725</v>
      </c>
      <c r="P41">
        <v>-500</v>
      </c>
      <c r="Q41">
        <v>2.4500000000000002</v>
      </c>
      <c r="R41">
        <v>2.4</v>
      </c>
      <c r="S41">
        <v>31725</v>
      </c>
      <c r="T41">
        <v>89075</v>
      </c>
      <c r="U41">
        <v>67350</v>
      </c>
      <c r="V41">
        <v>1.66</v>
      </c>
      <c r="W41">
        <v>-5.25</v>
      </c>
      <c r="X41">
        <v>6705925</v>
      </c>
      <c r="Y41">
        <v>-75</v>
      </c>
      <c r="Z41">
        <v>-500</v>
      </c>
      <c r="AA41">
        <v>-4.7</v>
      </c>
      <c r="AB41">
        <v>-4.8</v>
      </c>
      <c r="AC41">
        <v>29725</v>
      </c>
      <c r="AD41">
        <v>106575</v>
      </c>
      <c r="AE41">
        <v>60875</v>
      </c>
      <c r="AF41">
        <v>-7.03</v>
      </c>
    </row>
    <row r="42" spans="1:32" x14ac:dyDescent="0.25">
      <c r="A42" s="1">
        <v>45424.524305555555</v>
      </c>
      <c r="B42">
        <v>-11.9</v>
      </c>
      <c r="C42">
        <v>59250</v>
      </c>
      <c r="D42">
        <v>-25</v>
      </c>
      <c r="E42">
        <v>725</v>
      </c>
      <c r="F42">
        <v>-18.5</v>
      </c>
      <c r="G42">
        <v>-19</v>
      </c>
      <c r="H42">
        <v>16200</v>
      </c>
      <c r="I42">
        <v>69525</v>
      </c>
      <c r="J42">
        <v>20950</v>
      </c>
      <c r="K42">
        <v>1.72</v>
      </c>
      <c r="L42">
        <f t="shared" si="0"/>
        <v>-0.39776951672862454</v>
      </c>
      <c r="M42">
        <v>-0.45</v>
      </c>
      <c r="N42">
        <v>3905950</v>
      </c>
      <c r="O42">
        <v>200</v>
      </c>
      <c r="P42">
        <v>325</v>
      </c>
      <c r="Q42">
        <v>-2.4</v>
      </c>
      <c r="R42">
        <v>-2.35</v>
      </c>
      <c r="S42">
        <v>31350</v>
      </c>
      <c r="T42">
        <v>-146125</v>
      </c>
      <c r="U42">
        <v>-1950</v>
      </c>
      <c r="V42">
        <v>1.07</v>
      </c>
      <c r="W42">
        <v>8.65</v>
      </c>
      <c r="X42">
        <v>4108950</v>
      </c>
      <c r="Y42">
        <v>-1075</v>
      </c>
      <c r="Z42">
        <v>-125</v>
      </c>
      <c r="AA42">
        <v>10</v>
      </c>
      <c r="AB42">
        <v>10.050000000000001</v>
      </c>
      <c r="AC42">
        <v>28300</v>
      </c>
      <c r="AD42">
        <v>66850</v>
      </c>
      <c r="AE42">
        <v>-34200</v>
      </c>
      <c r="AF42">
        <v>-2.69</v>
      </c>
    </row>
    <row r="43" spans="1:32" x14ac:dyDescent="0.25">
      <c r="A43" s="1">
        <v>45424.527777777781</v>
      </c>
      <c r="B43">
        <v>4.25</v>
      </c>
      <c r="C43">
        <v>56475</v>
      </c>
      <c r="D43">
        <v>75</v>
      </c>
      <c r="E43">
        <v>0</v>
      </c>
      <c r="F43">
        <v>0.7</v>
      </c>
      <c r="G43">
        <v>-1.95</v>
      </c>
      <c r="H43">
        <v>15700</v>
      </c>
      <c r="I43">
        <v>-23425</v>
      </c>
      <c r="J43">
        <v>8025</v>
      </c>
      <c r="K43">
        <v>1.48</v>
      </c>
      <c r="L43">
        <f t="shared" si="0"/>
        <v>-0.43873517786561272</v>
      </c>
      <c r="M43">
        <v>-7.15</v>
      </c>
      <c r="N43">
        <v>5013825</v>
      </c>
      <c r="O43">
        <v>-225</v>
      </c>
      <c r="P43">
        <v>150</v>
      </c>
      <c r="Q43">
        <v>-8.5500000000000007</v>
      </c>
      <c r="R43">
        <v>-8.5500000000000007</v>
      </c>
      <c r="S43">
        <v>30050</v>
      </c>
      <c r="T43">
        <v>-38225</v>
      </c>
      <c r="U43">
        <v>21000</v>
      </c>
      <c r="V43">
        <v>1.1100000000000001</v>
      </c>
      <c r="W43">
        <v>-7.05</v>
      </c>
      <c r="X43">
        <v>4969050</v>
      </c>
      <c r="Y43">
        <v>-450</v>
      </c>
      <c r="Z43">
        <v>125</v>
      </c>
      <c r="AA43">
        <v>-6.25</v>
      </c>
      <c r="AB43">
        <v>-6.15</v>
      </c>
      <c r="AC43">
        <v>27375</v>
      </c>
      <c r="AD43">
        <v>-42300</v>
      </c>
      <c r="AE43">
        <v>-38250</v>
      </c>
      <c r="AF43">
        <v>-2.5299999999999998</v>
      </c>
    </row>
    <row r="44" spans="1:32" x14ac:dyDescent="0.25">
      <c r="A44" s="1">
        <v>45424.53125</v>
      </c>
      <c r="B44">
        <v>-6.05</v>
      </c>
      <c r="C44">
        <v>56000</v>
      </c>
      <c r="D44">
        <v>-100</v>
      </c>
      <c r="E44">
        <v>500</v>
      </c>
      <c r="F44">
        <v>-6.05</v>
      </c>
      <c r="G44">
        <v>-5.9</v>
      </c>
      <c r="H44">
        <v>16650</v>
      </c>
      <c r="I44">
        <v>15925</v>
      </c>
      <c r="J44">
        <v>10200</v>
      </c>
      <c r="K44">
        <v>1.32</v>
      </c>
      <c r="L44">
        <f t="shared" si="0"/>
        <v>-0.39999999999999997</v>
      </c>
      <c r="M44">
        <v>-0.8</v>
      </c>
      <c r="N44">
        <v>4928875</v>
      </c>
      <c r="O44">
        <v>-250</v>
      </c>
      <c r="P44">
        <v>-325</v>
      </c>
      <c r="Q44">
        <v>-1</v>
      </c>
      <c r="R44">
        <v>-1.05</v>
      </c>
      <c r="S44">
        <v>28950</v>
      </c>
      <c r="T44">
        <v>197900</v>
      </c>
      <c r="U44">
        <v>4125</v>
      </c>
      <c r="V44">
        <v>0.84</v>
      </c>
      <c r="W44">
        <v>7.45</v>
      </c>
      <c r="X44">
        <v>5223875</v>
      </c>
      <c r="Y44">
        <v>350</v>
      </c>
      <c r="Z44">
        <v>-500</v>
      </c>
      <c r="AA44">
        <v>9.0500000000000007</v>
      </c>
      <c r="AB44">
        <v>9.25</v>
      </c>
      <c r="AC44">
        <v>26900</v>
      </c>
      <c r="AD44">
        <v>206975</v>
      </c>
      <c r="AE44">
        <v>5250</v>
      </c>
      <c r="AF44">
        <v>-2.1</v>
      </c>
    </row>
    <row r="45" spans="1:32" x14ac:dyDescent="0.25">
      <c r="A45" s="1">
        <v>45424.534722222219</v>
      </c>
      <c r="B45">
        <v>-7.25</v>
      </c>
      <c r="C45">
        <v>58600</v>
      </c>
      <c r="D45">
        <v>-25</v>
      </c>
      <c r="E45">
        <v>-450</v>
      </c>
      <c r="F45">
        <v>-4.45</v>
      </c>
      <c r="G45">
        <v>-2.35</v>
      </c>
      <c r="H45">
        <v>17200</v>
      </c>
      <c r="I45">
        <v>-14000</v>
      </c>
      <c r="J45">
        <v>2700</v>
      </c>
      <c r="K45">
        <v>1.28</v>
      </c>
      <c r="L45">
        <f t="shared" si="0"/>
        <v>-0.65891472868217049</v>
      </c>
      <c r="M45">
        <v>-0.75</v>
      </c>
      <c r="N45">
        <v>5048200</v>
      </c>
      <c r="O45">
        <v>-225</v>
      </c>
      <c r="P45">
        <v>500</v>
      </c>
      <c r="Q45">
        <v>-0.85</v>
      </c>
      <c r="R45">
        <v>-0.85</v>
      </c>
      <c r="S45">
        <v>33925</v>
      </c>
      <c r="T45">
        <v>-70475</v>
      </c>
      <c r="U45">
        <v>6975</v>
      </c>
      <c r="V45">
        <v>0.85</v>
      </c>
      <c r="W45">
        <v>0.5</v>
      </c>
      <c r="X45">
        <v>4600275</v>
      </c>
      <c r="Y45">
        <v>775</v>
      </c>
      <c r="Z45">
        <v>525</v>
      </c>
      <c r="AA45">
        <v>0.2</v>
      </c>
      <c r="AB45">
        <v>0.25</v>
      </c>
      <c r="AC45">
        <v>28650</v>
      </c>
      <c r="AD45">
        <v>-38100</v>
      </c>
      <c r="AE45">
        <v>-30300</v>
      </c>
      <c r="AF45">
        <v>-1.29</v>
      </c>
    </row>
    <row r="46" spans="1:32" x14ac:dyDescent="0.25">
      <c r="A46" s="1">
        <v>45424.538194444445</v>
      </c>
      <c r="B46">
        <v>19.8</v>
      </c>
      <c r="C46">
        <v>51925</v>
      </c>
      <c r="D46">
        <v>-25</v>
      </c>
      <c r="E46">
        <v>25</v>
      </c>
      <c r="F46">
        <v>16.350000000000001</v>
      </c>
      <c r="G46">
        <v>17.3</v>
      </c>
      <c r="H46">
        <v>15225</v>
      </c>
      <c r="I46">
        <v>5350</v>
      </c>
      <c r="J46">
        <v>1125</v>
      </c>
      <c r="K46">
        <v>1.17</v>
      </c>
      <c r="L46">
        <f t="shared" si="0"/>
        <v>-0.53982300884955758</v>
      </c>
      <c r="M46">
        <v>4.0999999999999996</v>
      </c>
      <c r="N46">
        <v>3533875</v>
      </c>
      <c r="O46">
        <v>-25</v>
      </c>
      <c r="P46">
        <v>-450</v>
      </c>
      <c r="Q46">
        <v>5.05</v>
      </c>
      <c r="R46">
        <v>5.05</v>
      </c>
      <c r="S46">
        <v>32500</v>
      </c>
      <c r="T46">
        <v>106300</v>
      </c>
      <c r="U46">
        <v>-1450</v>
      </c>
      <c r="V46">
        <v>0.61</v>
      </c>
      <c r="W46">
        <v>-12</v>
      </c>
      <c r="X46">
        <v>3318850</v>
      </c>
      <c r="Y46">
        <v>1300</v>
      </c>
      <c r="Z46">
        <v>150</v>
      </c>
      <c r="AA46">
        <v>-12.4</v>
      </c>
      <c r="AB46">
        <v>-12.25</v>
      </c>
      <c r="AC46">
        <v>31000</v>
      </c>
      <c r="AD46">
        <v>-56700</v>
      </c>
      <c r="AE46">
        <v>70175</v>
      </c>
      <c r="AF46">
        <v>-1.1299999999999999</v>
      </c>
    </row>
    <row r="47" spans="1:32" x14ac:dyDescent="0.25">
      <c r="A47" s="1">
        <v>45424.541666666664</v>
      </c>
      <c r="B47">
        <v>-1.85</v>
      </c>
      <c r="C47">
        <v>38700</v>
      </c>
      <c r="D47">
        <v>50</v>
      </c>
      <c r="E47">
        <v>225</v>
      </c>
      <c r="F47">
        <v>3.05</v>
      </c>
      <c r="G47">
        <v>2.7</v>
      </c>
      <c r="H47">
        <v>16025</v>
      </c>
      <c r="I47">
        <v>425</v>
      </c>
      <c r="J47">
        <v>29800</v>
      </c>
      <c r="K47">
        <v>0.94</v>
      </c>
      <c r="L47">
        <f t="shared" si="0"/>
        <v>-0.55474452554744524</v>
      </c>
      <c r="M47">
        <v>0.85</v>
      </c>
      <c r="N47">
        <v>4725450</v>
      </c>
      <c r="O47">
        <v>75</v>
      </c>
      <c r="P47">
        <v>950</v>
      </c>
      <c r="Q47">
        <v>0.85</v>
      </c>
      <c r="R47">
        <v>0.9</v>
      </c>
      <c r="S47">
        <v>33525</v>
      </c>
      <c r="T47">
        <v>-52525</v>
      </c>
      <c r="U47">
        <v>-6525</v>
      </c>
      <c r="V47">
        <v>0.76</v>
      </c>
      <c r="W47">
        <v>3.55</v>
      </c>
      <c r="X47">
        <v>3528100</v>
      </c>
      <c r="Y47">
        <v>250</v>
      </c>
      <c r="Z47">
        <v>-200</v>
      </c>
      <c r="AA47">
        <v>3.7</v>
      </c>
      <c r="AB47">
        <v>3.65</v>
      </c>
      <c r="AC47">
        <v>31575</v>
      </c>
      <c r="AD47">
        <v>70450</v>
      </c>
      <c r="AE47">
        <v>-1300</v>
      </c>
      <c r="AF47">
        <v>-1.37</v>
      </c>
    </row>
    <row r="48" spans="1:32" x14ac:dyDescent="0.25">
      <c r="A48" s="1">
        <v>45424.545138888891</v>
      </c>
      <c r="B48">
        <v>4.05</v>
      </c>
      <c r="C48">
        <v>31000</v>
      </c>
      <c r="D48">
        <v>-50</v>
      </c>
      <c r="E48">
        <v>225</v>
      </c>
      <c r="F48">
        <v>4</v>
      </c>
      <c r="G48">
        <v>2.0499999999999998</v>
      </c>
      <c r="H48">
        <v>13300</v>
      </c>
      <c r="I48">
        <v>3750</v>
      </c>
      <c r="J48">
        <v>-2700</v>
      </c>
      <c r="K48">
        <v>0.77</v>
      </c>
      <c r="L48">
        <f t="shared" si="0"/>
        <v>-0.6067415730337079</v>
      </c>
      <c r="M48">
        <v>0.35</v>
      </c>
      <c r="N48">
        <v>3104425</v>
      </c>
      <c r="O48">
        <v>125</v>
      </c>
      <c r="P48">
        <v>100</v>
      </c>
      <c r="Q48">
        <v>0.45</v>
      </c>
      <c r="R48">
        <v>0.45</v>
      </c>
      <c r="S48">
        <v>28950</v>
      </c>
      <c r="T48">
        <v>-54050</v>
      </c>
      <c r="U48">
        <v>57350</v>
      </c>
      <c r="V48">
        <v>0.54</v>
      </c>
      <c r="W48">
        <v>0.2</v>
      </c>
      <c r="X48">
        <v>2426800</v>
      </c>
      <c r="Y48">
        <v>175</v>
      </c>
      <c r="Z48">
        <v>125</v>
      </c>
      <c r="AA48">
        <v>-0.2</v>
      </c>
      <c r="AB48">
        <v>0</v>
      </c>
      <c r="AC48">
        <v>31175</v>
      </c>
      <c r="AD48">
        <v>136500</v>
      </c>
      <c r="AE48">
        <v>9775</v>
      </c>
      <c r="AF48">
        <v>-0.89</v>
      </c>
    </row>
    <row r="49" spans="1:32" s="3" customFormat="1" x14ac:dyDescent="0.25">
      <c r="A49" s="2">
        <v>45424.548611111109</v>
      </c>
      <c r="B49" s="3">
        <v>35.85</v>
      </c>
      <c r="C49" s="3">
        <v>95900</v>
      </c>
      <c r="D49" s="3">
        <v>50</v>
      </c>
      <c r="E49" s="3">
        <v>-75</v>
      </c>
      <c r="F49" s="3">
        <v>32.25</v>
      </c>
      <c r="G49" s="3">
        <v>32.85</v>
      </c>
      <c r="H49" s="3">
        <v>14525</v>
      </c>
      <c r="I49" s="3">
        <v>15375</v>
      </c>
      <c r="J49" s="3">
        <v>-54700</v>
      </c>
      <c r="K49" s="3">
        <v>2.68</v>
      </c>
      <c r="L49" s="3">
        <f t="shared" si="0"/>
        <v>-0.69791666666666674</v>
      </c>
      <c r="M49" s="3">
        <v>26.1</v>
      </c>
      <c r="N49" s="3">
        <v>5883600</v>
      </c>
      <c r="O49" s="3">
        <v>-400</v>
      </c>
      <c r="P49" s="3">
        <v>425</v>
      </c>
      <c r="Q49" s="3">
        <v>23.5</v>
      </c>
      <c r="R49" s="3">
        <v>23.55</v>
      </c>
      <c r="S49" s="3">
        <v>29675</v>
      </c>
      <c r="T49" s="3">
        <v>-29800</v>
      </c>
      <c r="U49" s="3">
        <v>-164100</v>
      </c>
      <c r="V49" s="3">
        <v>1.34</v>
      </c>
      <c r="W49" s="3">
        <v>-21.15</v>
      </c>
      <c r="X49" s="3">
        <v>4564450</v>
      </c>
      <c r="Y49" s="3">
        <v>500</v>
      </c>
      <c r="Z49" s="3">
        <v>-75</v>
      </c>
      <c r="AA49" s="3">
        <v>-19.649999999999999</v>
      </c>
      <c r="AB49" s="3">
        <v>-19.45</v>
      </c>
      <c r="AC49" s="3">
        <v>28425</v>
      </c>
      <c r="AD49" s="3">
        <v>-180175</v>
      </c>
      <c r="AE49" s="3">
        <v>47775</v>
      </c>
      <c r="AF49" s="3">
        <v>-1.92</v>
      </c>
    </row>
    <row r="50" spans="1:32" x14ac:dyDescent="0.25">
      <c r="A50" s="1">
        <v>45424.552083333336</v>
      </c>
      <c r="B50">
        <v>-10.050000000000001</v>
      </c>
      <c r="C50">
        <v>88450</v>
      </c>
      <c r="D50">
        <v>50</v>
      </c>
      <c r="E50">
        <v>-1125</v>
      </c>
      <c r="F50">
        <v>-7.75</v>
      </c>
      <c r="G50">
        <v>-7</v>
      </c>
      <c r="H50">
        <v>15350</v>
      </c>
      <c r="I50">
        <v>-2950</v>
      </c>
      <c r="J50">
        <v>-5275</v>
      </c>
      <c r="K50">
        <v>2.72</v>
      </c>
      <c r="L50">
        <f t="shared" si="0"/>
        <v>-0.42388059701492536</v>
      </c>
      <c r="M50">
        <v>-14.35</v>
      </c>
      <c r="N50">
        <v>6210075</v>
      </c>
      <c r="O50">
        <v>6150</v>
      </c>
      <c r="P50">
        <v>725</v>
      </c>
      <c r="Q50">
        <v>-15.05</v>
      </c>
      <c r="R50">
        <v>-15.1</v>
      </c>
      <c r="S50">
        <v>27425</v>
      </c>
      <c r="T50">
        <v>-252825</v>
      </c>
      <c r="U50">
        <v>161125</v>
      </c>
      <c r="V50">
        <v>1.42</v>
      </c>
      <c r="W50">
        <v>-0.15</v>
      </c>
      <c r="X50">
        <v>6460925</v>
      </c>
      <c r="Y50">
        <v>-25</v>
      </c>
      <c r="Z50">
        <v>275</v>
      </c>
      <c r="AA50">
        <v>0.7</v>
      </c>
      <c r="AB50">
        <v>0.8</v>
      </c>
      <c r="AC50">
        <v>34625</v>
      </c>
      <c r="AD50">
        <v>202325</v>
      </c>
      <c r="AE50">
        <v>28575</v>
      </c>
      <c r="AF50">
        <v>-3.35</v>
      </c>
    </row>
    <row r="51" spans="1:32" x14ac:dyDescent="0.25">
      <c r="A51" s="1">
        <v>45424.555555555555</v>
      </c>
      <c r="B51">
        <v>-23</v>
      </c>
      <c r="C51">
        <v>46975</v>
      </c>
      <c r="D51">
        <v>0</v>
      </c>
      <c r="E51">
        <v>700</v>
      </c>
      <c r="F51">
        <v>-22.45</v>
      </c>
      <c r="G51">
        <v>-24.2</v>
      </c>
      <c r="H51">
        <v>15875</v>
      </c>
      <c r="I51">
        <v>550</v>
      </c>
      <c r="J51">
        <v>3500</v>
      </c>
      <c r="K51">
        <v>1.2</v>
      </c>
      <c r="L51">
        <f t="shared" si="0"/>
        <v>-0.32142857142857145</v>
      </c>
      <c r="M51">
        <v>-8.6999999999999993</v>
      </c>
      <c r="N51">
        <v>3224950</v>
      </c>
      <c r="O51">
        <v>100</v>
      </c>
      <c r="P51">
        <v>1050</v>
      </c>
      <c r="Q51">
        <v>-9.0500000000000007</v>
      </c>
      <c r="R51">
        <v>-9.0500000000000007</v>
      </c>
      <c r="S51">
        <v>22675</v>
      </c>
      <c r="T51">
        <v>-79050</v>
      </c>
      <c r="U51">
        <v>70875</v>
      </c>
      <c r="V51">
        <v>0.54</v>
      </c>
      <c r="W51">
        <v>11.55</v>
      </c>
      <c r="X51">
        <v>4600950</v>
      </c>
      <c r="Y51">
        <v>-550</v>
      </c>
      <c r="Z51">
        <v>675</v>
      </c>
      <c r="AA51">
        <v>11.65</v>
      </c>
      <c r="AB51">
        <v>11.65</v>
      </c>
      <c r="AC51">
        <v>29525</v>
      </c>
      <c r="AD51">
        <v>98875</v>
      </c>
      <c r="AE51">
        <v>-88125</v>
      </c>
      <c r="AF51">
        <v>-1.68</v>
      </c>
    </row>
    <row r="52" spans="1:32" x14ac:dyDescent="0.25">
      <c r="A52" s="1">
        <v>45424.559027777781</v>
      </c>
      <c r="B52">
        <v>-26.8</v>
      </c>
      <c r="C52">
        <v>65200</v>
      </c>
      <c r="D52">
        <v>100</v>
      </c>
      <c r="E52">
        <v>-1075</v>
      </c>
      <c r="F52">
        <v>-26.75</v>
      </c>
      <c r="G52">
        <v>-22.35</v>
      </c>
      <c r="H52">
        <v>17200</v>
      </c>
      <c r="I52">
        <v>-21800</v>
      </c>
      <c r="J52">
        <v>550</v>
      </c>
      <c r="K52">
        <v>1.35</v>
      </c>
      <c r="L52">
        <f t="shared" si="0"/>
        <v>-0.43055555555555558</v>
      </c>
      <c r="M52">
        <v>-18.45</v>
      </c>
      <c r="N52">
        <v>5434925</v>
      </c>
      <c r="O52">
        <v>275</v>
      </c>
      <c r="P52">
        <v>-375</v>
      </c>
      <c r="Q52">
        <v>-18.100000000000001</v>
      </c>
      <c r="R52">
        <v>-18.05</v>
      </c>
      <c r="S52">
        <v>27150</v>
      </c>
      <c r="T52">
        <v>-251325</v>
      </c>
      <c r="U52">
        <v>14050</v>
      </c>
      <c r="V52">
        <v>0.62</v>
      </c>
      <c r="W52">
        <v>11.1</v>
      </c>
      <c r="X52">
        <v>6830725</v>
      </c>
      <c r="Y52">
        <v>450</v>
      </c>
      <c r="Z52">
        <v>-525</v>
      </c>
      <c r="AA52">
        <v>11</v>
      </c>
      <c r="AB52">
        <v>11.1</v>
      </c>
      <c r="AC52">
        <v>26625</v>
      </c>
      <c r="AD52">
        <v>-62000</v>
      </c>
      <c r="AE52">
        <v>-86375</v>
      </c>
      <c r="AF52">
        <v>-1.44</v>
      </c>
    </row>
    <row r="53" spans="1:32" x14ac:dyDescent="0.25">
      <c r="A53" s="1">
        <v>45424.5625</v>
      </c>
      <c r="B53">
        <v>33.799999999999997</v>
      </c>
      <c r="C53">
        <v>47000</v>
      </c>
      <c r="D53">
        <v>50</v>
      </c>
      <c r="E53">
        <v>0</v>
      </c>
      <c r="F53">
        <v>30.8</v>
      </c>
      <c r="G53">
        <v>26.6</v>
      </c>
      <c r="H53">
        <v>20975</v>
      </c>
      <c r="I53">
        <v>15525</v>
      </c>
      <c r="J53">
        <v>38850</v>
      </c>
      <c r="K53">
        <v>1.03</v>
      </c>
      <c r="L53">
        <f t="shared" si="0"/>
        <v>-0.54961832061068694</v>
      </c>
      <c r="M53">
        <v>20</v>
      </c>
      <c r="N53">
        <v>5900775</v>
      </c>
      <c r="O53">
        <v>-25</v>
      </c>
      <c r="P53">
        <v>425</v>
      </c>
      <c r="Q53">
        <v>21.25</v>
      </c>
      <c r="R53">
        <v>21.3</v>
      </c>
      <c r="S53">
        <v>31475</v>
      </c>
      <c r="T53">
        <v>108625</v>
      </c>
      <c r="U53">
        <v>-95225</v>
      </c>
      <c r="V53">
        <v>0.72</v>
      </c>
      <c r="W53">
        <v>-13.3</v>
      </c>
      <c r="X53">
        <v>5441925</v>
      </c>
      <c r="Y53">
        <v>-50</v>
      </c>
      <c r="Z53">
        <v>-150</v>
      </c>
      <c r="AA53">
        <v>-14.1</v>
      </c>
      <c r="AB53">
        <v>-14.15</v>
      </c>
      <c r="AC53">
        <v>30300</v>
      </c>
      <c r="AD53">
        <v>299150</v>
      </c>
      <c r="AE53">
        <v>169950</v>
      </c>
      <c r="AF53">
        <v>-1.31</v>
      </c>
    </row>
    <row r="54" spans="1:32" x14ac:dyDescent="0.25">
      <c r="A54" s="1">
        <v>45424.565972222219</v>
      </c>
      <c r="B54">
        <v>27.45</v>
      </c>
      <c r="C54">
        <v>64400</v>
      </c>
      <c r="D54">
        <v>-25</v>
      </c>
      <c r="E54">
        <v>150</v>
      </c>
      <c r="F54">
        <v>27</v>
      </c>
      <c r="G54">
        <v>27.4</v>
      </c>
      <c r="H54">
        <v>17475</v>
      </c>
      <c r="I54">
        <v>-4425</v>
      </c>
      <c r="J54">
        <v>-20075</v>
      </c>
      <c r="K54">
        <v>1.65</v>
      </c>
      <c r="L54">
        <f t="shared" si="0"/>
        <v>-0.74999999999999989</v>
      </c>
      <c r="M54">
        <v>19</v>
      </c>
      <c r="N54">
        <v>6372100</v>
      </c>
      <c r="O54">
        <v>625</v>
      </c>
      <c r="P54">
        <v>-225</v>
      </c>
      <c r="Q54">
        <v>19.649999999999999</v>
      </c>
      <c r="R54">
        <v>19.7</v>
      </c>
      <c r="S54">
        <v>27075</v>
      </c>
      <c r="T54">
        <v>-289900</v>
      </c>
      <c r="U54">
        <v>-160250</v>
      </c>
      <c r="V54">
        <v>1.1399999999999999</v>
      </c>
      <c r="W54">
        <v>-10.15</v>
      </c>
      <c r="X54">
        <v>5483925</v>
      </c>
      <c r="Y54">
        <v>-225</v>
      </c>
      <c r="Z54">
        <v>700</v>
      </c>
      <c r="AA54">
        <v>-10.15</v>
      </c>
      <c r="AB54">
        <v>-10.15</v>
      </c>
      <c r="AC54">
        <v>29625</v>
      </c>
      <c r="AD54">
        <v>-530300</v>
      </c>
      <c r="AE54">
        <v>4325</v>
      </c>
      <c r="AF54">
        <v>-1.52</v>
      </c>
    </row>
    <row r="55" spans="1:32" x14ac:dyDescent="0.25">
      <c r="A55" s="1">
        <v>45424.569444444445</v>
      </c>
      <c r="B55">
        <v>-6</v>
      </c>
      <c r="C55">
        <v>205600</v>
      </c>
      <c r="D55">
        <v>-50</v>
      </c>
      <c r="E55">
        <v>-125</v>
      </c>
      <c r="F55">
        <v>-4.6500000000000004</v>
      </c>
      <c r="G55">
        <v>-2.4500000000000002</v>
      </c>
      <c r="H55">
        <v>19875</v>
      </c>
      <c r="I55">
        <v>20750</v>
      </c>
      <c r="J55">
        <v>-84475</v>
      </c>
      <c r="K55">
        <v>5.85</v>
      </c>
      <c r="L55">
        <f t="shared" si="0"/>
        <v>-0.22872340425531917</v>
      </c>
      <c r="M55">
        <v>-26.25</v>
      </c>
      <c r="N55">
        <v>8563200</v>
      </c>
      <c r="O55">
        <v>1550</v>
      </c>
      <c r="P55">
        <v>225</v>
      </c>
      <c r="Q55">
        <v>-27.4</v>
      </c>
      <c r="R55">
        <v>-27.35</v>
      </c>
      <c r="S55">
        <v>29450</v>
      </c>
      <c r="T55">
        <v>-280800</v>
      </c>
      <c r="U55">
        <v>92075</v>
      </c>
      <c r="V55">
        <v>1.29</v>
      </c>
      <c r="W55">
        <v>-25.35</v>
      </c>
      <c r="X55">
        <v>11799325</v>
      </c>
      <c r="Y55">
        <v>1050</v>
      </c>
      <c r="Z55">
        <v>-775</v>
      </c>
      <c r="AA55">
        <v>-24.7</v>
      </c>
      <c r="AB55">
        <v>-24.75</v>
      </c>
      <c r="AC55">
        <v>31125</v>
      </c>
      <c r="AD55">
        <v>291875</v>
      </c>
      <c r="AE55">
        <v>45525</v>
      </c>
      <c r="AF55">
        <v>-5.64</v>
      </c>
    </row>
    <row r="56" spans="1:32" x14ac:dyDescent="0.25">
      <c r="A56" s="1">
        <v>45424.572916666664</v>
      </c>
      <c r="B56">
        <v>1.65</v>
      </c>
      <c r="C56">
        <v>53375</v>
      </c>
      <c r="D56">
        <v>25</v>
      </c>
      <c r="E56">
        <v>-325</v>
      </c>
      <c r="F56">
        <v>5.2</v>
      </c>
      <c r="G56">
        <v>9.8000000000000007</v>
      </c>
      <c r="H56">
        <v>15475</v>
      </c>
      <c r="I56">
        <v>11300</v>
      </c>
      <c r="J56">
        <v>4925</v>
      </c>
      <c r="K56">
        <v>1.31</v>
      </c>
      <c r="L56">
        <f t="shared" si="0"/>
        <v>-0.23481781376518215</v>
      </c>
      <c r="M56">
        <v>18.350000000000001</v>
      </c>
      <c r="N56">
        <v>4572525</v>
      </c>
      <c r="O56">
        <v>425</v>
      </c>
      <c r="P56">
        <v>-150</v>
      </c>
      <c r="Q56">
        <v>20</v>
      </c>
      <c r="R56">
        <v>20.149999999999999</v>
      </c>
      <c r="S56">
        <v>27125</v>
      </c>
      <c r="T56">
        <v>-175325</v>
      </c>
      <c r="U56">
        <v>-101350</v>
      </c>
      <c r="V56">
        <v>0.57999999999999996</v>
      </c>
      <c r="W56">
        <v>8.4499999999999993</v>
      </c>
      <c r="X56">
        <v>7008000</v>
      </c>
      <c r="Y56">
        <v>-1175</v>
      </c>
      <c r="Z56">
        <v>475</v>
      </c>
      <c r="AA56">
        <v>7.1</v>
      </c>
      <c r="AB56">
        <v>7.2</v>
      </c>
      <c r="AC56">
        <v>29600</v>
      </c>
      <c r="AD56">
        <v>180700</v>
      </c>
      <c r="AE56">
        <v>51700</v>
      </c>
      <c r="AF56">
        <v>-2.4700000000000002</v>
      </c>
    </row>
    <row r="57" spans="1:32" x14ac:dyDescent="0.25">
      <c r="A57" s="1">
        <v>45424.576388888891</v>
      </c>
      <c r="B57">
        <v>-5.15</v>
      </c>
      <c r="C57">
        <v>54825</v>
      </c>
      <c r="D57">
        <v>125</v>
      </c>
      <c r="E57">
        <v>1750</v>
      </c>
      <c r="F57">
        <v>-10</v>
      </c>
      <c r="G57">
        <v>-12.75</v>
      </c>
      <c r="H57">
        <v>12825</v>
      </c>
      <c r="I57">
        <v>3050</v>
      </c>
      <c r="J57">
        <v>19250</v>
      </c>
      <c r="K57">
        <v>1.37</v>
      </c>
      <c r="L57">
        <f t="shared" si="0"/>
        <v>-0.25806451612903225</v>
      </c>
      <c r="M57">
        <v>-8.65</v>
      </c>
      <c r="N57">
        <v>2929375</v>
      </c>
      <c r="O57">
        <v>75</v>
      </c>
      <c r="P57">
        <v>25</v>
      </c>
      <c r="Q57">
        <v>-8.65</v>
      </c>
      <c r="R57">
        <v>-8.65</v>
      </c>
      <c r="S57">
        <v>23325</v>
      </c>
      <c r="T57">
        <v>-53100</v>
      </c>
      <c r="U57">
        <v>113000</v>
      </c>
      <c r="V57">
        <v>0.4</v>
      </c>
      <c r="W57">
        <v>2.2000000000000002</v>
      </c>
      <c r="X57">
        <v>4756125</v>
      </c>
      <c r="Y57">
        <v>125</v>
      </c>
      <c r="Z57">
        <v>-700</v>
      </c>
      <c r="AA57">
        <v>2.35</v>
      </c>
      <c r="AB57">
        <v>2.2999999999999998</v>
      </c>
      <c r="AC57">
        <v>23900</v>
      </c>
      <c r="AD57">
        <v>596900</v>
      </c>
      <c r="AE57">
        <v>-26075</v>
      </c>
      <c r="AF57">
        <v>-1.55</v>
      </c>
    </row>
    <row r="58" spans="1:32" x14ac:dyDescent="0.25">
      <c r="A58" s="1">
        <v>45424.579861111109</v>
      </c>
      <c r="B58">
        <v>25.4</v>
      </c>
      <c r="C58">
        <v>149350</v>
      </c>
      <c r="D58">
        <v>0</v>
      </c>
      <c r="E58">
        <v>-1450</v>
      </c>
      <c r="F58">
        <v>25.6</v>
      </c>
      <c r="G58">
        <v>26.35</v>
      </c>
      <c r="H58">
        <v>19475</v>
      </c>
      <c r="I58">
        <v>102850</v>
      </c>
      <c r="J58">
        <v>-31025</v>
      </c>
      <c r="K58">
        <v>4.09</v>
      </c>
      <c r="L58">
        <f t="shared" si="0"/>
        <v>-0.33913043478260874</v>
      </c>
      <c r="M58">
        <v>12.35</v>
      </c>
      <c r="N58">
        <v>4573725</v>
      </c>
      <c r="O58">
        <v>150</v>
      </c>
      <c r="P58">
        <v>375</v>
      </c>
      <c r="Q58">
        <v>14.85</v>
      </c>
      <c r="R58">
        <v>14.9</v>
      </c>
      <c r="S58">
        <v>22900</v>
      </c>
      <c r="T58">
        <v>-57825</v>
      </c>
      <c r="U58">
        <v>-108325</v>
      </c>
      <c r="V58">
        <v>0.78</v>
      </c>
      <c r="W58">
        <v>-9.0500000000000007</v>
      </c>
      <c r="X58">
        <v>6505975</v>
      </c>
      <c r="Y58">
        <v>1800</v>
      </c>
      <c r="Z58">
        <v>350</v>
      </c>
      <c r="AA58">
        <v>-10.15</v>
      </c>
      <c r="AB58">
        <v>-10.050000000000001</v>
      </c>
      <c r="AC58">
        <v>27825</v>
      </c>
      <c r="AD58">
        <v>812825</v>
      </c>
      <c r="AE58">
        <v>98850</v>
      </c>
      <c r="AF58">
        <v>-2.2999999999999998</v>
      </c>
    </row>
    <row r="59" spans="1:32" x14ac:dyDescent="0.25">
      <c r="A59" s="1">
        <v>45424.583333333336</v>
      </c>
      <c r="B59">
        <v>-12.35</v>
      </c>
      <c r="C59">
        <v>140475</v>
      </c>
      <c r="D59">
        <v>225</v>
      </c>
      <c r="E59">
        <v>0</v>
      </c>
      <c r="F59">
        <v>-13</v>
      </c>
      <c r="G59">
        <v>-14.35</v>
      </c>
      <c r="H59">
        <v>24550</v>
      </c>
      <c r="I59">
        <v>6800</v>
      </c>
      <c r="J59">
        <v>21675</v>
      </c>
      <c r="K59">
        <v>3.5</v>
      </c>
      <c r="L59">
        <f t="shared" si="0"/>
        <v>-0.21367521367521369</v>
      </c>
      <c r="M59">
        <v>-26.45</v>
      </c>
      <c r="N59">
        <v>4017325</v>
      </c>
      <c r="O59">
        <v>-225</v>
      </c>
      <c r="P59">
        <v>525</v>
      </c>
      <c r="Q59">
        <v>-27.05</v>
      </c>
      <c r="R59">
        <v>-27.05</v>
      </c>
      <c r="S59">
        <v>27200</v>
      </c>
      <c r="T59">
        <v>-163725</v>
      </c>
      <c r="U59">
        <v>118925</v>
      </c>
      <c r="V59">
        <v>0.5</v>
      </c>
      <c r="W59">
        <v>-14.1</v>
      </c>
      <c r="X59">
        <v>6356525</v>
      </c>
      <c r="Y59">
        <v>-75</v>
      </c>
      <c r="Z59">
        <v>-1625</v>
      </c>
      <c r="AA59">
        <v>-13.65</v>
      </c>
      <c r="AB59">
        <v>-13.75</v>
      </c>
      <c r="AC59">
        <v>31250</v>
      </c>
      <c r="AD59">
        <v>96175</v>
      </c>
      <c r="AE59">
        <v>53600</v>
      </c>
      <c r="AF59">
        <v>-2.34</v>
      </c>
    </row>
    <row r="60" spans="1:32" x14ac:dyDescent="0.25">
      <c r="A60" s="1">
        <v>45424.586805555555</v>
      </c>
      <c r="B60">
        <v>-2.0499999999999998</v>
      </c>
      <c r="C60">
        <v>57575</v>
      </c>
      <c r="D60">
        <v>-175</v>
      </c>
      <c r="E60">
        <v>-175</v>
      </c>
      <c r="F60">
        <v>0</v>
      </c>
      <c r="G60">
        <v>0.35</v>
      </c>
      <c r="H60">
        <v>15900</v>
      </c>
      <c r="I60">
        <v>-9250</v>
      </c>
      <c r="J60">
        <v>17275</v>
      </c>
      <c r="K60">
        <v>1.39</v>
      </c>
      <c r="L60">
        <f t="shared" si="0"/>
        <v>-0.16049382716049382</v>
      </c>
      <c r="M60">
        <v>7.2</v>
      </c>
      <c r="N60">
        <v>3369250</v>
      </c>
      <c r="O60">
        <v>-50</v>
      </c>
      <c r="P60">
        <v>100</v>
      </c>
      <c r="Q60">
        <v>8.15</v>
      </c>
      <c r="R60">
        <v>8.1999999999999993</v>
      </c>
      <c r="S60">
        <v>24350</v>
      </c>
      <c r="T60">
        <v>-133800</v>
      </c>
      <c r="U60">
        <v>-20300</v>
      </c>
      <c r="V60">
        <v>0.39</v>
      </c>
      <c r="W60">
        <v>15.45</v>
      </c>
      <c r="X60">
        <v>6663850</v>
      </c>
      <c r="Y60">
        <v>-25</v>
      </c>
      <c r="Z60">
        <v>-325</v>
      </c>
      <c r="AA60">
        <v>14.75</v>
      </c>
      <c r="AB60">
        <v>14.75</v>
      </c>
      <c r="AC60">
        <v>31200</v>
      </c>
      <c r="AD60">
        <v>218025</v>
      </c>
      <c r="AE60">
        <v>-79425</v>
      </c>
      <c r="AF60">
        <v>-2.4300000000000002</v>
      </c>
    </row>
    <row r="61" spans="1:32" s="3" customFormat="1" x14ac:dyDescent="0.25">
      <c r="A61" s="2">
        <v>45424.590277777781</v>
      </c>
      <c r="B61" s="3">
        <v>79.650000000000006</v>
      </c>
      <c r="C61" s="3">
        <v>453700</v>
      </c>
      <c r="D61" s="3">
        <v>50</v>
      </c>
      <c r="E61" s="3">
        <v>-25</v>
      </c>
      <c r="F61" s="3">
        <v>75.95</v>
      </c>
      <c r="G61" s="3">
        <v>81.400000000000006</v>
      </c>
      <c r="H61" s="3">
        <v>22075</v>
      </c>
      <c r="I61" s="3">
        <v>-27675</v>
      </c>
      <c r="J61" s="3">
        <v>-204650</v>
      </c>
      <c r="K61" s="3">
        <v>14.72</v>
      </c>
      <c r="L61" s="3">
        <f t="shared" si="0"/>
        <v>-0.42980935875216641</v>
      </c>
      <c r="M61" s="3">
        <v>51</v>
      </c>
      <c r="N61" s="3">
        <v>8110925</v>
      </c>
      <c r="O61" s="3">
        <v>175</v>
      </c>
      <c r="P61" s="3">
        <v>275</v>
      </c>
      <c r="Q61" s="3">
        <v>54.35</v>
      </c>
      <c r="R61" s="3">
        <v>54.55</v>
      </c>
      <c r="S61" s="3">
        <v>25400</v>
      </c>
      <c r="T61" s="3">
        <v>-1682200</v>
      </c>
      <c r="U61" s="3">
        <v>-302450</v>
      </c>
      <c r="V61" s="3">
        <v>2.48</v>
      </c>
      <c r="W61" s="3">
        <v>-40.700000000000003</v>
      </c>
      <c r="X61" s="3">
        <v>13118950</v>
      </c>
      <c r="Y61" s="3">
        <v>-25</v>
      </c>
      <c r="Z61" s="3">
        <v>275</v>
      </c>
      <c r="AA61" s="3">
        <v>-40.950000000000003</v>
      </c>
      <c r="AB61" s="3">
        <v>-41.05</v>
      </c>
      <c r="AC61" s="3">
        <v>31275</v>
      </c>
      <c r="AD61" s="3">
        <v>906100</v>
      </c>
      <c r="AE61" s="3">
        <v>7925</v>
      </c>
      <c r="AF61" s="3">
        <v>-5.77</v>
      </c>
    </row>
    <row r="62" spans="1:32" x14ac:dyDescent="0.25">
      <c r="A62" s="1">
        <v>45424.59375</v>
      </c>
      <c r="B62">
        <v>22.1</v>
      </c>
      <c r="C62">
        <v>254500</v>
      </c>
      <c r="D62">
        <v>25</v>
      </c>
      <c r="E62">
        <v>7575</v>
      </c>
      <c r="F62">
        <v>23.1</v>
      </c>
      <c r="G62">
        <v>21</v>
      </c>
      <c r="H62">
        <v>28525</v>
      </c>
      <c r="I62">
        <v>32250</v>
      </c>
      <c r="J62">
        <v>81950</v>
      </c>
      <c r="K62">
        <v>8</v>
      </c>
      <c r="L62">
        <f t="shared" si="0"/>
        <v>-0.18974358974358976</v>
      </c>
      <c r="M62">
        <v>30.05</v>
      </c>
      <c r="N62">
        <v>3719250</v>
      </c>
      <c r="O62">
        <v>825</v>
      </c>
      <c r="P62">
        <v>450</v>
      </c>
      <c r="Q62">
        <v>25.8</v>
      </c>
      <c r="R62">
        <v>25.85</v>
      </c>
      <c r="S62">
        <v>23550</v>
      </c>
      <c r="T62">
        <v>-1049600</v>
      </c>
      <c r="U62">
        <v>-26100</v>
      </c>
      <c r="V62">
        <v>1.1100000000000001</v>
      </c>
      <c r="W62">
        <v>-0.4</v>
      </c>
      <c r="X62">
        <v>12519200</v>
      </c>
      <c r="Y62">
        <v>175</v>
      </c>
      <c r="Z62">
        <v>950</v>
      </c>
      <c r="AA62">
        <v>-0.7</v>
      </c>
      <c r="AB62">
        <v>-0.7</v>
      </c>
      <c r="AC62">
        <v>45500</v>
      </c>
      <c r="AD62">
        <v>653500</v>
      </c>
      <c r="AE62">
        <v>-30400</v>
      </c>
      <c r="AF62">
        <v>-5.85</v>
      </c>
    </row>
    <row r="63" spans="1:32" x14ac:dyDescent="0.25">
      <c r="A63" s="1">
        <v>45424.597222222219</v>
      </c>
      <c r="B63">
        <v>-10</v>
      </c>
      <c r="C63">
        <v>212775</v>
      </c>
      <c r="D63">
        <v>50</v>
      </c>
      <c r="E63">
        <v>-6700</v>
      </c>
      <c r="F63">
        <v>-10.8</v>
      </c>
      <c r="G63">
        <v>-10.7</v>
      </c>
      <c r="H63">
        <v>22800</v>
      </c>
      <c r="I63">
        <v>20900</v>
      </c>
      <c r="J63">
        <v>-15675</v>
      </c>
      <c r="K63">
        <v>6.53</v>
      </c>
      <c r="L63">
        <f t="shared" si="0"/>
        <v>-0.25641025641025639</v>
      </c>
      <c r="M63">
        <v>-12.65</v>
      </c>
      <c r="N63">
        <v>2044150</v>
      </c>
      <c r="O63">
        <v>-75</v>
      </c>
      <c r="P63">
        <v>-400</v>
      </c>
      <c r="Q63">
        <v>-10.7</v>
      </c>
      <c r="R63">
        <v>-11</v>
      </c>
      <c r="S63">
        <v>25775</v>
      </c>
      <c r="T63">
        <v>-679950</v>
      </c>
      <c r="U63">
        <v>17475</v>
      </c>
      <c r="V63">
        <v>0.7</v>
      </c>
      <c r="W63">
        <v>1.9</v>
      </c>
      <c r="X63">
        <v>6756975</v>
      </c>
      <c r="Y63">
        <v>2800</v>
      </c>
      <c r="Z63">
        <v>2400</v>
      </c>
      <c r="AA63">
        <v>1.9</v>
      </c>
      <c r="AB63">
        <v>1.95</v>
      </c>
      <c r="AC63">
        <v>42775</v>
      </c>
      <c r="AD63">
        <v>146075</v>
      </c>
      <c r="AE63">
        <v>42150</v>
      </c>
      <c r="AF63">
        <v>-2.73</v>
      </c>
    </row>
    <row r="64" spans="1:32" x14ac:dyDescent="0.25">
      <c r="A64" s="1">
        <v>45424.600694444445</v>
      </c>
      <c r="B64">
        <v>71.900000000000006</v>
      </c>
      <c r="C64">
        <v>382450</v>
      </c>
      <c r="D64">
        <v>-100</v>
      </c>
      <c r="E64">
        <v>-550</v>
      </c>
      <c r="F64">
        <v>71.849999999999994</v>
      </c>
      <c r="G64">
        <v>74.3</v>
      </c>
      <c r="H64">
        <v>23175</v>
      </c>
      <c r="I64">
        <v>4050</v>
      </c>
      <c r="J64">
        <v>-213125</v>
      </c>
      <c r="K64">
        <v>12.26</v>
      </c>
      <c r="L64">
        <f t="shared" si="0"/>
        <v>-0.27766179540709812</v>
      </c>
      <c r="M64">
        <v>74.8</v>
      </c>
      <c r="N64">
        <v>3037975</v>
      </c>
      <c r="O64">
        <v>-150</v>
      </c>
      <c r="P64">
        <v>650</v>
      </c>
      <c r="Q64">
        <v>74.8</v>
      </c>
      <c r="R64">
        <v>75.05</v>
      </c>
      <c r="S64">
        <v>25700</v>
      </c>
      <c r="T64">
        <v>-1086975</v>
      </c>
      <c r="U64">
        <v>-149950</v>
      </c>
      <c r="V64">
        <v>1.33</v>
      </c>
      <c r="W64">
        <v>-13.55</v>
      </c>
      <c r="X64">
        <v>11909625</v>
      </c>
      <c r="Y64">
        <v>-1400</v>
      </c>
      <c r="Z64">
        <v>2525</v>
      </c>
      <c r="AA64">
        <v>-13</v>
      </c>
      <c r="AB64">
        <v>-13.05</v>
      </c>
      <c r="AC64">
        <v>44875</v>
      </c>
      <c r="AD64">
        <v>65900</v>
      </c>
      <c r="AE64">
        <v>-27375</v>
      </c>
      <c r="AF64">
        <v>-4.79</v>
      </c>
    </row>
    <row r="65" spans="1:32" x14ac:dyDescent="0.25">
      <c r="A65" s="1">
        <v>45424.604166666664</v>
      </c>
      <c r="B65">
        <v>20.5</v>
      </c>
      <c r="C65">
        <v>326000</v>
      </c>
      <c r="D65">
        <v>25</v>
      </c>
      <c r="E65">
        <v>-25</v>
      </c>
      <c r="F65">
        <v>19.25</v>
      </c>
      <c r="G65">
        <v>18</v>
      </c>
      <c r="H65">
        <v>26075</v>
      </c>
      <c r="I65">
        <v>154950</v>
      </c>
      <c r="J65">
        <v>14100</v>
      </c>
      <c r="K65">
        <v>10.92</v>
      </c>
      <c r="L65">
        <f t="shared" si="0"/>
        <v>-0.16696914700544466</v>
      </c>
      <c r="M65">
        <v>15.3</v>
      </c>
      <c r="N65">
        <v>1747625</v>
      </c>
      <c r="O65">
        <v>-250</v>
      </c>
      <c r="P65">
        <v>550</v>
      </c>
      <c r="Q65">
        <v>13.55</v>
      </c>
      <c r="R65">
        <v>13.55</v>
      </c>
      <c r="S65">
        <v>26775</v>
      </c>
      <c r="T65">
        <v>-1350225</v>
      </c>
      <c r="U65">
        <v>6250</v>
      </c>
      <c r="V65">
        <v>0.92</v>
      </c>
      <c r="W65">
        <v>-7.2</v>
      </c>
      <c r="X65">
        <v>13736725</v>
      </c>
      <c r="Y65">
        <v>4150</v>
      </c>
      <c r="Z65">
        <v>3375</v>
      </c>
      <c r="AA65">
        <v>-7.2</v>
      </c>
      <c r="AB65">
        <v>-7.2</v>
      </c>
      <c r="AC65">
        <v>46825</v>
      </c>
      <c r="AD65">
        <v>-300100</v>
      </c>
      <c r="AE65">
        <v>58675</v>
      </c>
      <c r="AF65">
        <v>-5.51</v>
      </c>
    </row>
    <row r="66" spans="1:32" s="3" customFormat="1" x14ac:dyDescent="0.25">
      <c r="A66" s="2">
        <v>45424.607638888891</v>
      </c>
      <c r="B66" s="3">
        <v>-48.8</v>
      </c>
      <c r="C66" s="3">
        <v>298975</v>
      </c>
      <c r="D66" s="3">
        <v>100</v>
      </c>
      <c r="E66" s="3">
        <v>-125</v>
      </c>
      <c r="F66" s="3">
        <v>-41.45</v>
      </c>
      <c r="G66" s="3">
        <v>-45</v>
      </c>
      <c r="H66" s="3">
        <v>25750</v>
      </c>
      <c r="I66" s="3">
        <v>-33225</v>
      </c>
      <c r="J66" s="3">
        <v>31850</v>
      </c>
      <c r="K66" s="3">
        <v>9.48</v>
      </c>
      <c r="L66" s="3">
        <f t="shared" si="0"/>
        <v>-0.14419475655430714</v>
      </c>
      <c r="M66" s="3">
        <v>-45.55</v>
      </c>
      <c r="N66" s="3">
        <v>1463975</v>
      </c>
      <c r="O66" s="3">
        <v>-575</v>
      </c>
      <c r="P66" s="3">
        <v>0</v>
      </c>
      <c r="Q66" s="3">
        <v>-44.1</v>
      </c>
      <c r="R66" s="3">
        <v>-44.2</v>
      </c>
      <c r="S66" s="3">
        <v>26825</v>
      </c>
      <c r="T66" s="3">
        <v>-4651950</v>
      </c>
      <c r="U66" s="3">
        <v>43325</v>
      </c>
      <c r="V66" s="3">
        <v>0.77</v>
      </c>
      <c r="W66" s="3">
        <v>1.95</v>
      </c>
      <c r="X66" s="3">
        <v>14358150</v>
      </c>
      <c r="Y66" s="3">
        <v>-1425</v>
      </c>
      <c r="Z66" s="3">
        <v>-3700</v>
      </c>
      <c r="AA66" s="3">
        <v>1.45</v>
      </c>
      <c r="AB66" s="3">
        <v>1.45</v>
      </c>
      <c r="AC66" s="3">
        <v>62725</v>
      </c>
      <c r="AD66" s="3">
        <v>42525</v>
      </c>
      <c r="AE66" s="3">
        <v>-159825</v>
      </c>
      <c r="AF66" s="3">
        <v>-5.34</v>
      </c>
    </row>
    <row r="67" spans="1:32" x14ac:dyDescent="0.25">
      <c r="A67" s="1">
        <v>45424.611111111109</v>
      </c>
      <c r="B67">
        <v>7.45</v>
      </c>
      <c r="C67">
        <v>305500</v>
      </c>
      <c r="D67">
        <v>-25</v>
      </c>
      <c r="E67">
        <v>-25</v>
      </c>
      <c r="F67">
        <v>5.3</v>
      </c>
      <c r="G67">
        <v>3.35</v>
      </c>
      <c r="H67">
        <v>22650</v>
      </c>
      <c r="I67">
        <v>13400</v>
      </c>
      <c r="J67">
        <v>-65700</v>
      </c>
      <c r="K67">
        <v>7.33</v>
      </c>
      <c r="L67">
        <f t="shared" ref="L67:L76" si="1">V67/AF67</f>
        <v>-0.1107871720116618</v>
      </c>
      <c r="M67">
        <v>1.8</v>
      </c>
      <c r="N67">
        <v>2072175</v>
      </c>
      <c r="O67">
        <v>200</v>
      </c>
      <c r="P67">
        <v>-125</v>
      </c>
      <c r="Q67">
        <v>1.5</v>
      </c>
      <c r="R67">
        <v>1.95</v>
      </c>
      <c r="S67">
        <v>26125</v>
      </c>
      <c r="T67">
        <v>-2795400</v>
      </c>
      <c r="U67">
        <v>-6500</v>
      </c>
      <c r="V67">
        <v>0.76</v>
      </c>
      <c r="W67">
        <v>-6.6</v>
      </c>
      <c r="X67">
        <v>22560250</v>
      </c>
      <c r="Y67">
        <v>4725</v>
      </c>
      <c r="Z67">
        <v>-175</v>
      </c>
      <c r="AA67">
        <v>-6.55</v>
      </c>
      <c r="AB67">
        <v>-6.55</v>
      </c>
      <c r="AC67">
        <v>60700</v>
      </c>
      <c r="AD67">
        <v>-348150</v>
      </c>
      <c r="AE67">
        <v>52900</v>
      </c>
      <c r="AF67">
        <v>-6.86</v>
      </c>
    </row>
    <row r="68" spans="1:32" x14ac:dyDescent="0.25">
      <c r="A68" s="1">
        <v>45424.614583333336</v>
      </c>
      <c r="B68">
        <v>-29.35</v>
      </c>
      <c r="C68">
        <v>187150</v>
      </c>
      <c r="D68">
        <v>-500</v>
      </c>
      <c r="E68">
        <v>25</v>
      </c>
      <c r="F68">
        <v>-26.85</v>
      </c>
      <c r="G68">
        <v>-22.95</v>
      </c>
      <c r="H68">
        <v>23225</v>
      </c>
      <c r="I68">
        <v>-250</v>
      </c>
      <c r="J68">
        <v>8800</v>
      </c>
      <c r="K68">
        <v>4.4800000000000004</v>
      </c>
      <c r="L68">
        <f t="shared" si="1"/>
        <v>-6.4122137404580157E-2</v>
      </c>
      <c r="M68">
        <v>-29.05</v>
      </c>
      <c r="N68">
        <v>1120375</v>
      </c>
      <c r="O68">
        <v>-225</v>
      </c>
      <c r="P68">
        <v>25</v>
      </c>
      <c r="Q68">
        <v>-27.2</v>
      </c>
      <c r="R68">
        <v>-27.3</v>
      </c>
      <c r="S68">
        <v>25275</v>
      </c>
      <c r="T68">
        <v>-2396750</v>
      </c>
      <c r="U68">
        <v>17525</v>
      </c>
      <c r="V68">
        <v>0.42</v>
      </c>
      <c r="W68">
        <v>1.9</v>
      </c>
      <c r="X68">
        <v>23523875</v>
      </c>
      <c r="Y68">
        <v>-6100</v>
      </c>
      <c r="Z68">
        <v>1325</v>
      </c>
      <c r="AA68">
        <v>2.0499999999999998</v>
      </c>
      <c r="AB68">
        <v>2.0499999999999998</v>
      </c>
      <c r="AC68">
        <v>80725</v>
      </c>
      <c r="AD68">
        <v>-670100</v>
      </c>
      <c r="AE68">
        <v>43625</v>
      </c>
      <c r="AF68">
        <v>-6.55</v>
      </c>
    </row>
    <row r="69" spans="1:32" s="3" customFormat="1" x14ac:dyDescent="0.25">
      <c r="A69" s="2">
        <v>45424.618055555555</v>
      </c>
      <c r="B69" s="3">
        <v>-117.35</v>
      </c>
      <c r="C69" s="3">
        <v>616800</v>
      </c>
      <c r="D69" s="3">
        <v>25</v>
      </c>
      <c r="E69" s="3">
        <v>-25</v>
      </c>
      <c r="F69" s="3">
        <v>-115.2</v>
      </c>
      <c r="G69" s="3">
        <v>-118.65</v>
      </c>
      <c r="H69" s="3">
        <v>24325</v>
      </c>
      <c r="I69" s="3">
        <v>-127350</v>
      </c>
      <c r="J69" s="3">
        <v>0</v>
      </c>
      <c r="K69" s="3">
        <v>7.77</v>
      </c>
      <c r="L69" s="3">
        <f t="shared" si="1"/>
        <v>-0.18560606060606061</v>
      </c>
      <c r="M69" s="3">
        <v>-120.7</v>
      </c>
      <c r="N69" s="3">
        <v>9180425</v>
      </c>
      <c r="O69" s="3">
        <v>-425</v>
      </c>
      <c r="P69" s="3">
        <v>325</v>
      </c>
      <c r="Q69" s="3">
        <v>-120.25</v>
      </c>
      <c r="R69" s="3">
        <v>-120.3</v>
      </c>
      <c r="S69" s="3">
        <v>27375</v>
      </c>
      <c r="T69" s="3">
        <v>1895675</v>
      </c>
      <c r="U69" s="3">
        <v>152750</v>
      </c>
      <c r="V69" s="3">
        <v>0.49</v>
      </c>
      <c r="W69" s="3">
        <v>88.2</v>
      </c>
      <c r="X69" s="3">
        <v>40026350</v>
      </c>
      <c r="Y69" s="3">
        <v>-2850</v>
      </c>
      <c r="Z69" s="3">
        <v>-3925</v>
      </c>
      <c r="AA69" s="3">
        <v>87.8</v>
      </c>
      <c r="AB69" s="3">
        <v>88.1</v>
      </c>
      <c r="AC69" s="3">
        <v>37600</v>
      </c>
      <c r="AD69" s="3">
        <v>1547800</v>
      </c>
      <c r="AE69" s="3">
        <v>-539600</v>
      </c>
      <c r="AF69" s="3">
        <v>-2.64</v>
      </c>
    </row>
    <row r="70" spans="1:32" x14ac:dyDescent="0.25">
      <c r="A70" s="1">
        <v>45424.621527777781</v>
      </c>
      <c r="B70">
        <v>-75.55</v>
      </c>
      <c r="C70">
        <v>1145100</v>
      </c>
      <c r="D70">
        <v>0</v>
      </c>
      <c r="E70">
        <v>-150</v>
      </c>
      <c r="F70">
        <v>-77.400000000000006</v>
      </c>
      <c r="G70">
        <v>-73.25</v>
      </c>
      <c r="H70">
        <v>25050</v>
      </c>
      <c r="I70">
        <v>-221975</v>
      </c>
      <c r="J70">
        <v>96100</v>
      </c>
      <c r="K70">
        <v>0.78</v>
      </c>
      <c r="L70">
        <f t="shared" si="1"/>
        <v>-1.6153846153846154</v>
      </c>
      <c r="M70">
        <v>-59.2</v>
      </c>
      <c r="N70">
        <v>28828725</v>
      </c>
      <c r="O70">
        <v>-325</v>
      </c>
      <c r="P70">
        <v>325</v>
      </c>
      <c r="Q70">
        <v>-61.9</v>
      </c>
      <c r="R70">
        <v>-62.05</v>
      </c>
      <c r="S70">
        <v>28150</v>
      </c>
      <c r="T70">
        <v>873000</v>
      </c>
      <c r="U70">
        <v>223700</v>
      </c>
      <c r="V70">
        <v>-5.25</v>
      </c>
      <c r="W70">
        <v>15.2</v>
      </c>
      <c r="X70">
        <v>22911600</v>
      </c>
      <c r="Y70">
        <v>125</v>
      </c>
      <c r="Z70">
        <v>50</v>
      </c>
      <c r="AA70">
        <v>25.05</v>
      </c>
      <c r="AB70">
        <v>25.3</v>
      </c>
      <c r="AC70">
        <v>27500</v>
      </c>
      <c r="AD70">
        <v>-4101250</v>
      </c>
      <c r="AE70">
        <v>-156625</v>
      </c>
      <c r="AF70">
        <v>3.25</v>
      </c>
    </row>
    <row r="71" spans="1:32" x14ac:dyDescent="0.25">
      <c r="A71" s="1">
        <v>45424.625</v>
      </c>
      <c r="B71">
        <v>77</v>
      </c>
      <c r="C71">
        <v>424600</v>
      </c>
      <c r="D71">
        <v>75</v>
      </c>
      <c r="E71">
        <v>13575</v>
      </c>
      <c r="F71">
        <v>75.099999999999994</v>
      </c>
      <c r="G71">
        <v>74.55</v>
      </c>
      <c r="H71">
        <v>23375</v>
      </c>
      <c r="I71">
        <v>62225</v>
      </c>
      <c r="J71">
        <v>-6600</v>
      </c>
      <c r="K71">
        <v>0.91</v>
      </c>
      <c r="L71">
        <f t="shared" si="1"/>
        <v>1.7447698744769873</v>
      </c>
      <c r="M71">
        <v>50.9</v>
      </c>
      <c r="N71">
        <v>49648275</v>
      </c>
      <c r="O71">
        <v>100</v>
      </c>
      <c r="P71">
        <v>-25</v>
      </c>
      <c r="Q71">
        <v>47.95</v>
      </c>
      <c r="R71">
        <v>48.15</v>
      </c>
      <c r="S71">
        <v>31400</v>
      </c>
      <c r="T71">
        <v>1375950</v>
      </c>
      <c r="U71">
        <v>-170300</v>
      </c>
      <c r="V71">
        <v>-8.34</v>
      </c>
      <c r="W71">
        <v>-112.05</v>
      </c>
      <c r="X71">
        <v>39864600</v>
      </c>
      <c r="Y71">
        <v>2475</v>
      </c>
      <c r="Z71">
        <v>450</v>
      </c>
      <c r="AA71">
        <v>-111.45</v>
      </c>
      <c r="AB71">
        <v>-112</v>
      </c>
      <c r="AC71">
        <v>32275</v>
      </c>
      <c r="AD71">
        <v>305500</v>
      </c>
      <c r="AE71">
        <v>999050</v>
      </c>
      <c r="AF71">
        <v>-4.78</v>
      </c>
    </row>
    <row r="72" spans="1:32" x14ac:dyDescent="0.25">
      <c r="A72" s="1">
        <v>45424.628472222219</v>
      </c>
      <c r="B72">
        <v>35.75</v>
      </c>
      <c r="C72">
        <v>406600</v>
      </c>
      <c r="D72">
        <v>50</v>
      </c>
      <c r="E72">
        <v>-11900</v>
      </c>
      <c r="F72">
        <v>35.799999999999997</v>
      </c>
      <c r="G72">
        <v>33.85</v>
      </c>
      <c r="H72">
        <v>21150</v>
      </c>
      <c r="I72">
        <v>152475</v>
      </c>
      <c r="J72">
        <v>142450</v>
      </c>
      <c r="K72">
        <v>2.5099999999999998</v>
      </c>
      <c r="L72">
        <f t="shared" si="1"/>
        <v>5.1932367149758456E-2</v>
      </c>
      <c r="M72">
        <v>37.1</v>
      </c>
      <c r="N72">
        <v>19832500</v>
      </c>
      <c r="O72">
        <v>400</v>
      </c>
      <c r="P72">
        <v>50</v>
      </c>
      <c r="Q72">
        <v>32.25</v>
      </c>
      <c r="R72">
        <v>32.200000000000003</v>
      </c>
      <c r="S72">
        <v>32075</v>
      </c>
      <c r="T72">
        <v>-3651575</v>
      </c>
      <c r="U72">
        <v>-134900</v>
      </c>
      <c r="V72">
        <v>-0.43</v>
      </c>
      <c r="W72">
        <v>-5.2</v>
      </c>
      <c r="X72">
        <v>54907950</v>
      </c>
      <c r="Y72">
        <v>-475</v>
      </c>
      <c r="Z72">
        <v>-1025</v>
      </c>
      <c r="AA72">
        <v>-4.95</v>
      </c>
      <c r="AB72">
        <v>-5</v>
      </c>
      <c r="AC72">
        <v>63625</v>
      </c>
      <c r="AD72">
        <v>-2076575</v>
      </c>
      <c r="AE72">
        <v>166975</v>
      </c>
      <c r="AF72">
        <v>-8.2799999999999994</v>
      </c>
    </row>
    <row r="73" spans="1:32" x14ac:dyDescent="0.25">
      <c r="A73" s="1">
        <v>45424.631944444445</v>
      </c>
      <c r="B73">
        <v>22.75</v>
      </c>
      <c r="C73">
        <v>447625</v>
      </c>
      <c r="D73">
        <v>0</v>
      </c>
      <c r="E73">
        <v>-250</v>
      </c>
      <c r="F73">
        <v>25.4</v>
      </c>
      <c r="G73">
        <v>22.1</v>
      </c>
      <c r="H73">
        <v>19525</v>
      </c>
      <c r="I73">
        <v>28075</v>
      </c>
      <c r="J73">
        <v>5175</v>
      </c>
      <c r="K73">
        <v>3.95</v>
      </c>
      <c r="L73">
        <f t="shared" si="1"/>
        <v>-6.9243156199677941E-2</v>
      </c>
      <c r="M73">
        <v>25.3</v>
      </c>
      <c r="N73">
        <v>6101275</v>
      </c>
      <c r="O73">
        <v>-375</v>
      </c>
      <c r="P73">
        <v>175</v>
      </c>
      <c r="Q73">
        <v>24.5</v>
      </c>
      <c r="R73">
        <v>24.35</v>
      </c>
      <c r="S73">
        <v>31675</v>
      </c>
      <c r="T73">
        <v>-4162400</v>
      </c>
      <c r="U73">
        <v>-67025</v>
      </c>
      <c r="V73">
        <v>0.43</v>
      </c>
      <c r="W73">
        <v>-2.5</v>
      </c>
      <c r="X73">
        <v>47391000</v>
      </c>
      <c r="Y73">
        <v>340450</v>
      </c>
      <c r="Z73">
        <v>287600</v>
      </c>
      <c r="AA73">
        <v>-2.5499999999999998</v>
      </c>
      <c r="AB73">
        <v>-2.5499999999999998</v>
      </c>
      <c r="AC73">
        <v>109575</v>
      </c>
      <c r="AD73">
        <v>-832675</v>
      </c>
      <c r="AE73">
        <v>282000</v>
      </c>
      <c r="AF73">
        <v>-6.21</v>
      </c>
    </row>
    <row r="74" spans="1:32" x14ac:dyDescent="0.25">
      <c r="A74" s="1">
        <v>45424.635416666664</v>
      </c>
      <c r="B74">
        <v>-13.7</v>
      </c>
      <c r="C74">
        <v>313375</v>
      </c>
      <c r="D74">
        <v>-25</v>
      </c>
      <c r="E74">
        <v>950</v>
      </c>
      <c r="F74">
        <v>-11.1</v>
      </c>
      <c r="G74">
        <v>-11.6</v>
      </c>
      <c r="H74">
        <v>22725</v>
      </c>
      <c r="I74">
        <v>-12250</v>
      </c>
      <c r="J74">
        <v>-1875</v>
      </c>
      <c r="K74">
        <v>2.86</v>
      </c>
      <c r="L74">
        <f t="shared" si="1"/>
        <v>-0.17557251908396945</v>
      </c>
      <c r="M74">
        <v>-13.8</v>
      </c>
      <c r="N74">
        <v>2987450</v>
      </c>
      <c r="O74">
        <v>300</v>
      </c>
      <c r="P74">
        <v>0</v>
      </c>
      <c r="Q74">
        <v>-13.9</v>
      </c>
      <c r="R74">
        <v>-13.9</v>
      </c>
      <c r="S74">
        <v>26025</v>
      </c>
      <c r="T74">
        <v>-3463050</v>
      </c>
      <c r="U74">
        <v>35850</v>
      </c>
      <c r="V74">
        <v>0.23</v>
      </c>
      <c r="W74">
        <v>-0.2</v>
      </c>
      <c r="X74">
        <v>11122575</v>
      </c>
      <c r="Y74">
        <v>171850</v>
      </c>
      <c r="Z74">
        <v>108100</v>
      </c>
      <c r="AA74">
        <v>-0.2</v>
      </c>
      <c r="AB74">
        <v>-0.2</v>
      </c>
      <c r="AC74">
        <v>77750</v>
      </c>
      <c r="AD74">
        <v>-2972225</v>
      </c>
      <c r="AE74">
        <v>-46475</v>
      </c>
      <c r="AF74">
        <v>-1.31</v>
      </c>
    </row>
    <row r="75" spans="1:32" x14ac:dyDescent="0.25">
      <c r="A75" s="1">
        <v>45424.638888888891</v>
      </c>
      <c r="B75">
        <v>9.4499999999999993</v>
      </c>
      <c r="C75">
        <v>199400</v>
      </c>
      <c r="D75">
        <v>25</v>
      </c>
      <c r="E75">
        <v>-1650</v>
      </c>
      <c r="F75">
        <v>5.2</v>
      </c>
      <c r="G75">
        <v>5.95</v>
      </c>
      <c r="H75">
        <v>19500</v>
      </c>
      <c r="I75">
        <v>-659400</v>
      </c>
      <c r="J75">
        <v>-286625</v>
      </c>
      <c r="K75">
        <v>1.65</v>
      </c>
      <c r="L75">
        <f t="shared" si="1"/>
        <v>-0.1149425287356322</v>
      </c>
      <c r="M75">
        <v>-4.25</v>
      </c>
      <c r="N75">
        <v>1860025</v>
      </c>
      <c r="O75">
        <v>25</v>
      </c>
      <c r="P75">
        <v>0</v>
      </c>
      <c r="Q75">
        <v>-4.55</v>
      </c>
      <c r="R75">
        <v>-4.55</v>
      </c>
      <c r="S75">
        <v>27475</v>
      </c>
      <c r="T75">
        <v>-5562975</v>
      </c>
      <c r="U75">
        <v>-10475</v>
      </c>
      <c r="V75">
        <v>0.1</v>
      </c>
      <c r="W75">
        <v>-0.25</v>
      </c>
      <c r="X75">
        <v>7639375</v>
      </c>
      <c r="Y75">
        <v>2562700</v>
      </c>
      <c r="Z75">
        <v>763025</v>
      </c>
      <c r="AA75">
        <v>-0.3</v>
      </c>
      <c r="AB75">
        <v>-0.3</v>
      </c>
      <c r="AC75">
        <v>107350</v>
      </c>
      <c r="AD75">
        <v>-4600000</v>
      </c>
      <c r="AE75">
        <v>1380925</v>
      </c>
      <c r="AF75">
        <v>-0.87</v>
      </c>
    </row>
    <row r="76" spans="1:32" x14ac:dyDescent="0.25">
      <c r="A76" s="1">
        <v>45424.642361111109</v>
      </c>
      <c r="B76">
        <v>-21.65</v>
      </c>
      <c r="C76">
        <v>218725</v>
      </c>
      <c r="D76">
        <v>275</v>
      </c>
      <c r="E76">
        <v>-200</v>
      </c>
      <c r="F76">
        <v>-18.7</v>
      </c>
      <c r="G76">
        <v>-13.4</v>
      </c>
      <c r="H76">
        <v>21625</v>
      </c>
      <c r="I76">
        <v>-75175</v>
      </c>
      <c r="J76">
        <v>-85425</v>
      </c>
      <c r="K76">
        <v>1.64</v>
      </c>
      <c r="L76">
        <f t="shared" si="1"/>
        <v>-8.3333333333333343E-2</v>
      </c>
      <c r="M76">
        <v>-4.7</v>
      </c>
      <c r="N76">
        <v>1017700</v>
      </c>
      <c r="O76">
        <v>1925</v>
      </c>
      <c r="P76">
        <v>-125</v>
      </c>
      <c r="Q76">
        <v>-4.6500000000000004</v>
      </c>
      <c r="R76">
        <v>-4.75</v>
      </c>
      <c r="S76">
        <v>32350</v>
      </c>
      <c r="T76">
        <v>-15552775</v>
      </c>
      <c r="U76">
        <v>-91400</v>
      </c>
      <c r="V76">
        <v>0.05</v>
      </c>
      <c r="W76">
        <v>-0.2</v>
      </c>
      <c r="X76">
        <v>5439850</v>
      </c>
      <c r="Y76">
        <v>-2524875</v>
      </c>
      <c r="Z76">
        <v>-1268600</v>
      </c>
      <c r="AA76">
        <v>-0.15</v>
      </c>
      <c r="AB76">
        <v>-0.1</v>
      </c>
      <c r="AC76">
        <v>90100</v>
      </c>
      <c r="AD76">
        <v>-15005200</v>
      </c>
      <c r="AE76">
        <v>-2568325</v>
      </c>
      <c r="AF76">
        <v>-0.6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05-12-2024_05m_NIFTY24DECFUT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dileep</dc:creator>
  <cp:lastModifiedBy>Uday Kale</cp:lastModifiedBy>
  <dcterms:created xsi:type="dcterms:W3CDTF">2024-12-29T04:54:25Z</dcterms:created>
  <dcterms:modified xsi:type="dcterms:W3CDTF">2024-12-29T04:54:25Z</dcterms:modified>
</cp:coreProperties>
</file>